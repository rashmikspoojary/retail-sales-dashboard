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chand\OneDrive\Documents\"/>
    </mc:Choice>
  </mc:AlternateContent>
  <xr:revisionPtr revIDLastSave="0" documentId="13_ncr:1_{1BE9C5AC-F2E7-40FA-A867-89163A6D06B8}" xr6:coauthVersionLast="47" xr6:coauthVersionMax="47" xr10:uidLastSave="{00000000-0000-0000-0000-000000000000}"/>
  <bookViews>
    <workbookView xWindow="-108" yWindow="-108" windowWidth="23256" windowHeight="12456" activeTab="2" xr2:uid="{00000000-000D-0000-FFFF-FFFF00000000}"/>
  </bookViews>
  <sheets>
    <sheet name="Retail_Orders" sheetId="1" r:id="rId1"/>
    <sheet name="Pivot" sheetId="2" r:id="rId2"/>
    <sheet name="Dashboard" sheetId="5" r:id="rId3"/>
    <sheet name="icons" sheetId="6" r:id="rId4"/>
  </sheets>
  <definedNames>
    <definedName name="Slicer_Category">#N/A</definedName>
    <definedName name="Slicer_Delivery_Status">#N/A</definedName>
    <definedName name="Slicer_Payment_Mode">#N/A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2" i="1" l="1"/>
  <c r="L102" i="1"/>
  <c r="J102" i="1"/>
  <c r="N102" i="1"/>
  <c r="M10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alcChain>
</file>

<file path=xl/sharedStrings.xml><?xml version="1.0" encoding="utf-8"?>
<sst xmlns="http://schemas.openxmlformats.org/spreadsheetml/2006/main" count="975" uniqueCount="350">
  <si>
    <t>Order_ID</t>
  </si>
  <si>
    <t>Order_Date</t>
  </si>
  <si>
    <t>Customer_Name</t>
  </si>
  <si>
    <t>Gender</t>
  </si>
  <si>
    <t>Age</t>
  </si>
  <si>
    <t>City</t>
  </si>
  <si>
    <t>State</t>
  </si>
  <si>
    <t>Category</t>
  </si>
  <si>
    <t>Product</t>
  </si>
  <si>
    <t>Quantity</t>
  </si>
  <si>
    <t>Unit_Price</t>
  </si>
  <si>
    <t>Discount_%</t>
  </si>
  <si>
    <t>Sales</t>
  </si>
  <si>
    <t>Profit</t>
  </si>
  <si>
    <t>Payment_Mode</t>
  </si>
  <si>
    <t>Delivery_Status</t>
  </si>
  <si>
    <t>ORD1002</t>
  </si>
  <si>
    <t>2025-01-07</t>
  </si>
  <si>
    <t>Kavya Sharma</t>
  </si>
  <si>
    <t>Female</t>
  </si>
  <si>
    <t>Jaipur</t>
  </si>
  <si>
    <t>Rajasthan</t>
  </si>
  <si>
    <t>Groceries</t>
  </si>
  <si>
    <t>Oil</t>
  </si>
  <si>
    <t>UPI</t>
  </si>
  <si>
    <t>Returned</t>
  </si>
  <si>
    <t>ORD1003</t>
  </si>
  <si>
    <t>2025-01-10</t>
  </si>
  <si>
    <t>Vivaan Joshi</t>
  </si>
  <si>
    <t>Male</t>
  </si>
  <si>
    <t>Mysuru</t>
  </si>
  <si>
    <t>Karnataka</t>
  </si>
  <si>
    <t>Electronics</t>
  </si>
  <si>
    <t>Laptop</t>
  </si>
  <si>
    <t>Card</t>
  </si>
  <si>
    <t>Pending</t>
  </si>
  <si>
    <t>ORD1004</t>
  </si>
  <si>
    <t>2025-01-13</t>
  </si>
  <si>
    <t>Rahul Joshi</t>
  </si>
  <si>
    <t>Headphones</t>
  </si>
  <si>
    <t>ORD1005</t>
  </si>
  <si>
    <t>2025-01-16</t>
  </si>
  <si>
    <t>Ananya Poojary</t>
  </si>
  <si>
    <t>Mumbai</t>
  </si>
  <si>
    <t>Maharashtra</t>
  </si>
  <si>
    <t>Fashion</t>
  </si>
  <si>
    <t>T-Shirt</t>
  </si>
  <si>
    <t>Net Banking</t>
  </si>
  <si>
    <t>Cancelled</t>
  </si>
  <si>
    <t>ORD1006</t>
  </si>
  <si>
    <t>2025-01-19</t>
  </si>
  <si>
    <t>Ishita Shetty</t>
  </si>
  <si>
    <t>Hyderabad</t>
  </si>
  <si>
    <t>Telangana</t>
  </si>
  <si>
    <t>Coffee</t>
  </si>
  <si>
    <t>Delivered</t>
  </si>
  <si>
    <t>ORD1007</t>
  </si>
  <si>
    <t>2025-01-22</t>
  </si>
  <si>
    <t>Varun Nair</t>
  </si>
  <si>
    <t>Home</t>
  </si>
  <si>
    <t>Water Purifier</t>
  </si>
  <si>
    <t>ORD1008</t>
  </si>
  <si>
    <t>2025-01-25</t>
  </si>
  <si>
    <t>Nikhil Sharma</t>
  </si>
  <si>
    <t>Rice</t>
  </si>
  <si>
    <t>ORD1009</t>
  </si>
  <si>
    <t>2025-01-28</t>
  </si>
  <si>
    <t>Aditya Poojary</t>
  </si>
  <si>
    <t>Smartphone</t>
  </si>
  <si>
    <t>ORD1010</t>
  </si>
  <si>
    <t>2025-01-31</t>
  </si>
  <si>
    <t>Nikhil Nair</t>
  </si>
  <si>
    <t>Jacket</t>
  </si>
  <si>
    <t>ORD1011</t>
  </si>
  <si>
    <t>2025-02-03</t>
  </si>
  <si>
    <t>Ananya Kumar</t>
  </si>
  <si>
    <t>Chennai</t>
  </si>
  <si>
    <t>Tamil Nadu</t>
  </si>
  <si>
    <t>ORD1012</t>
  </si>
  <si>
    <t>2025-02-06</t>
  </si>
  <si>
    <t>Diya Reddy</t>
  </si>
  <si>
    <t>ORD1013</t>
  </si>
  <si>
    <t>2025-02-09</t>
  </si>
  <si>
    <t>Aditya Sharma</t>
  </si>
  <si>
    <t>Mangaluru</t>
  </si>
  <si>
    <t>Sugar</t>
  </si>
  <si>
    <t>ORD1014</t>
  </si>
  <si>
    <t>2025-02-12</t>
  </si>
  <si>
    <t>Arjun Poojary</t>
  </si>
  <si>
    <t>Fan</t>
  </si>
  <si>
    <t>ORD1015</t>
  </si>
  <si>
    <t>2025-02-15</t>
  </si>
  <si>
    <t>Saanvi Gupta</t>
  </si>
  <si>
    <t>Handbag</t>
  </si>
  <si>
    <t>ORD1016</t>
  </si>
  <si>
    <t>2025-02-18</t>
  </si>
  <si>
    <t>Pooja Poojary</t>
  </si>
  <si>
    <t>Bengaluru</t>
  </si>
  <si>
    <t>Cash</t>
  </si>
  <si>
    <t>ORD1017</t>
  </si>
  <si>
    <t>2025-02-21</t>
  </si>
  <si>
    <t>ORD1018</t>
  </si>
  <si>
    <t>2025-02-24</t>
  </si>
  <si>
    <t>Aditya Reddy</t>
  </si>
  <si>
    <t>Monitor</t>
  </si>
  <si>
    <t>ORD1019</t>
  </si>
  <si>
    <t>2025-02-27</t>
  </si>
  <si>
    <t>Kavya Poojary</t>
  </si>
  <si>
    <t>Delhi</t>
  </si>
  <si>
    <t>ORD1020</t>
  </si>
  <si>
    <t>2025-03-02</t>
  </si>
  <si>
    <t>Neha Singh</t>
  </si>
  <si>
    <t>ORD1021</t>
  </si>
  <si>
    <t>2025-03-05</t>
  </si>
  <si>
    <t>Pooja Kumar</t>
  </si>
  <si>
    <t>ORD1022</t>
  </si>
  <si>
    <t>2025-03-08</t>
  </si>
  <si>
    <t>Varun Singh</t>
  </si>
  <si>
    <t>Mixer</t>
  </si>
  <si>
    <t>ORD1023</t>
  </si>
  <si>
    <t>2025-03-11</t>
  </si>
  <si>
    <t>Sneha Reddy</t>
  </si>
  <si>
    <t>ORD1024</t>
  </si>
  <si>
    <t>2025-03-14</t>
  </si>
  <si>
    <t>Meera Patel</t>
  </si>
  <si>
    <t>Kolkata</t>
  </si>
  <si>
    <t>West Bengal</t>
  </si>
  <si>
    <t>ORD1025</t>
  </si>
  <si>
    <t>2025-03-17</t>
  </si>
  <si>
    <t>Rohit Singh</t>
  </si>
  <si>
    <t>ORD1026</t>
  </si>
  <si>
    <t>2025-03-20</t>
  </si>
  <si>
    <t>Meera Poojary</t>
  </si>
  <si>
    <t>Tea</t>
  </si>
  <si>
    <t>ORD1027</t>
  </si>
  <si>
    <t>2025-03-23</t>
  </si>
  <si>
    <t>Neha Sharma</t>
  </si>
  <si>
    <t>ORD1028</t>
  </si>
  <si>
    <t>2025-03-26</t>
  </si>
  <si>
    <t>Diya Kumar</t>
  </si>
  <si>
    <t>ORD1029</t>
  </si>
  <si>
    <t>2025-03-29</t>
  </si>
  <si>
    <t>Neha Poojary</t>
  </si>
  <si>
    <t>Cookware</t>
  </si>
  <si>
    <t>ORD1030</t>
  </si>
  <si>
    <t>2025-04-01</t>
  </si>
  <si>
    <t>Diya Sharma</t>
  </si>
  <si>
    <t>Pune</t>
  </si>
  <si>
    <t>ORD1031</t>
  </si>
  <si>
    <t>2025-04-04</t>
  </si>
  <si>
    <t>Aisha Sharma</t>
  </si>
  <si>
    <t>Smartwatch</t>
  </si>
  <si>
    <t>ORD1032</t>
  </si>
  <si>
    <t>2025-04-07</t>
  </si>
  <si>
    <t>Sneha Nair</t>
  </si>
  <si>
    <t>ORD1033</t>
  </si>
  <si>
    <t>2025-04-10</t>
  </si>
  <si>
    <t>Pooja Nair</t>
  </si>
  <si>
    <t>ORD1034</t>
  </si>
  <si>
    <t>2025-04-13</t>
  </si>
  <si>
    <t>Arjun Joshi</t>
  </si>
  <si>
    <t>ORD1035</t>
  </si>
  <si>
    <t>2025-04-16</t>
  </si>
  <si>
    <t>Vivaan Poojary</t>
  </si>
  <si>
    <t>ORD1036</t>
  </si>
  <si>
    <t>2025-04-19</t>
  </si>
  <si>
    <t>ORD1037</t>
  </si>
  <si>
    <t>2025-04-22</t>
  </si>
  <si>
    <t>ORD1038</t>
  </si>
  <si>
    <t>2025-04-25</t>
  </si>
  <si>
    <t>Saanvi Joshi</t>
  </si>
  <si>
    <t>ORD1039</t>
  </si>
  <si>
    <t>2025-04-28</t>
  </si>
  <si>
    <t>Aarav Singh</t>
  </si>
  <si>
    <t>ORD1040</t>
  </si>
  <si>
    <t>2025-05-01</t>
  </si>
  <si>
    <t>Aisha Reddy</t>
  </si>
  <si>
    <t>ORD1041</t>
  </si>
  <si>
    <t>2025-05-04</t>
  </si>
  <si>
    <t>ORD1042</t>
  </si>
  <si>
    <t>2025-05-07</t>
  </si>
  <si>
    <t>ORD1043</t>
  </si>
  <si>
    <t>2025-05-10</t>
  </si>
  <si>
    <t>ORD1044</t>
  </si>
  <si>
    <t>2025-05-13</t>
  </si>
  <si>
    <t>ORD1045</t>
  </si>
  <si>
    <t>2025-05-16</t>
  </si>
  <si>
    <t>Saanvi Sharma</t>
  </si>
  <si>
    <t>Jeans</t>
  </si>
  <si>
    <t>ORD1046</t>
  </si>
  <si>
    <t>2025-05-19</t>
  </si>
  <si>
    <t>ORD1047</t>
  </si>
  <si>
    <t>2025-05-22</t>
  </si>
  <si>
    <t>ORD1048</t>
  </si>
  <si>
    <t>2025-05-25</t>
  </si>
  <si>
    <t>Aarav Sharma</t>
  </si>
  <si>
    <t>Shoes</t>
  </si>
  <si>
    <t>ORD1049</t>
  </si>
  <si>
    <t>2025-05-28</t>
  </si>
  <si>
    <t>Varun Joshi</t>
  </si>
  <si>
    <t>ORD1050</t>
  </si>
  <si>
    <t>2025-05-31</t>
  </si>
  <si>
    <t>Aisha Joshi</t>
  </si>
  <si>
    <t>ORD1051</t>
  </si>
  <si>
    <t>2025-06-03</t>
  </si>
  <si>
    <t>ORD1052</t>
  </si>
  <si>
    <t>2025-06-06</t>
  </si>
  <si>
    <t>Diya Singh</t>
  </si>
  <si>
    <t>ORD1053</t>
  </si>
  <si>
    <t>2025-06-09</t>
  </si>
  <si>
    <t>Vivaan Patel</t>
  </si>
  <si>
    <t>ORD1054</t>
  </si>
  <si>
    <t>2025-06-12</t>
  </si>
  <si>
    <t>Nikhil Singh</t>
  </si>
  <si>
    <t>ORD1055</t>
  </si>
  <si>
    <t>2025-06-15</t>
  </si>
  <si>
    <t>Ananya Joshi</t>
  </si>
  <si>
    <t>ORD1056</t>
  </si>
  <si>
    <t>2025-06-18</t>
  </si>
  <si>
    <t>ORD1057</t>
  </si>
  <si>
    <t>2025-06-21</t>
  </si>
  <si>
    <t>Neha Patel</t>
  </si>
  <si>
    <t>ORD1058</t>
  </si>
  <si>
    <t>2025-06-24</t>
  </si>
  <si>
    <t>Riya Reddy</t>
  </si>
  <si>
    <t>ORD1059</t>
  </si>
  <si>
    <t>2025-06-27</t>
  </si>
  <si>
    <t>ORD1060</t>
  </si>
  <si>
    <t>2025-06-30</t>
  </si>
  <si>
    <t>Sneha Poojary</t>
  </si>
  <si>
    <t>ORD1061</t>
  </si>
  <si>
    <t>2025-07-03</t>
  </si>
  <si>
    <t>Rohit Reddy</t>
  </si>
  <si>
    <t>ORD1062</t>
  </si>
  <si>
    <t>2025-07-06</t>
  </si>
  <si>
    <t>Pooja Singh</t>
  </si>
  <si>
    <t>ORD1063</t>
  </si>
  <si>
    <t>2025-07-09</t>
  </si>
  <si>
    <t>Ananya Gupta</t>
  </si>
  <si>
    <t>ORD1064</t>
  </si>
  <si>
    <t>2025-07-12</t>
  </si>
  <si>
    <t>Riya Shetty</t>
  </si>
  <si>
    <t>ORD1065</t>
  </si>
  <si>
    <t>2025-07-15</t>
  </si>
  <si>
    <t>Vivaan Singh</t>
  </si>
  <si>
    <t>ORD1066</t>
  </si>
  <si>
    <t>2025-07-18</t>
  </si>
  <si>
    <t>Rohit Poojary</t>
  </si>
  <si>
    <t>ORD1067</t>
  </si>
  <si>
    <t>2025-07-21</t>
  </si>
  <si>
    <t>Ishita Nair</t>
  </si>
  <si>
    <t>ORD1068</t>
  </si>
  <si>
    <t>2025-07-24</t>
  </si>
  <si>
    <t>Varun Kumar</t>
  </si>
  <si>
    <t>ORD1069</t>
  </si>
  <si>
    <t>2025-07-27</t>
  </si>
  <si>
    <t>Aditya Patel</t>
  </si>
  <si>
    <t>ORD1070</t>
  </si>
  <si>
    <t>2025-07-30</t>
  </si>
  <si>
    <t>Varun Poojary</t>
  </si>
  <si>
    <t>ORD1071</t>
  </si>
  <si>
    <t>2025-08-02</t>
  </si>
  <si>
    <t>Arjun Shetty</t>
  </si>
  <si>
    <t>ORD1072</t>
  </si>
  <si>
    <t>2025-08-05</t>
  </si>
  <si>
    <t>ORD1073</t>
  </si>
  <si>
    <t>2025-08-08</t>
  </si>
  <si>
    <t>Vivaan Nair</t>
  </si>
  <si>
    <t>ORD1074</t>
  </si>
  <si>
    <t>2025-08-11</t>
  </si>
  <si>
    <t>Rohit Patel</t>
  </si>
  <si>
    <t>ORD1075</t>
  </si>
  <si>
    <t>2025-08-14</t>
  </si>
  <si>
    <t>Aarav Kumar</t>
  </si>
  <si>
    <t>ORD1076</t>
  </si>
  <si>
    <t>2025-08-17</t>
  </si>
  <si>
    <t>Kavya Nair</t>
  </si>
  <si>
    <t>ORD1077</t>
  </si>
  <si>
    <t>2025-08-20</t>
  </si>
  <si>
    <t>Arjun Reddy</t>
  </si>
  <si>
    <t>ORD1078</t>
  </si>
  <si>
    <t>2025-08-23</t>
  </si>
  <si>
    <t>Rahul Patel</t>
  </si>
  <si>
    <t>ORD1079</t>
  </si>
  <si>
    <t>2025-08-26</t>
  </si>
  <si>
    <t>Pooja Sharma</t>
  </si>
  <si>
    <t>ORD1080</t>
  </si>
  <si>
    <t>2025-08-29</t>
  </si>
  <si>
    <t>Neha Nair</t>
  </si>
  <si>
    <t>ORD1081</t>
  </si>
  <si>
    <t>2025-09-01</t>
  </si>
  <si>
    <t>ORD1082</t>
  </si>
  <si>
    <t>2025-09-04</t>
  </si>
  <si>
    <t>Rohit Nair</t>
  </si>
  <si>
    <t>Vacuum</t>
  </si>
  <si>
    <t>ORD1083</t>
  </si>
  <si>
    <t>2025-09-07</t>
  </si>
  <si>
    <t>Nikhil Gupta</t>
  </si>
  <si>
    <t>ORD1084</t>
  </si>
  <si>
    <t>2025-09-10</t>
  </si>
  <si>
    <t>Aarav Poojary</t>
  </si>
  <si>
    <t>ORD1085</t>
  </si>
  <si>
    <t>2025-09-13</t>
  </si>
  <si>
    <t>ORD1086</t>
  </si>
  <si>
    <t>2025-09-16</t>
  </si>
  <si>
    <t>ORD1087</t>
  </si>
  <si>
    <t>2025-09-19</t>
  </si>
  <si>
    <t>ORD1088</t>
  </si>
  <si>
    <t>2025-09-22</t>
  </si>
  <si>
    <t>ORD1089</t>
  </si>
  <si>
    <t>2025-09-25</t>
  </si>
  <si>
    <t>ORD1090</t>
  </si>
  <si>
    <t>2025-09-28</t>
  </si>
  <si>
    <t>Nikhil Reddy</t>
  </si>
  <si>
    <t>ORD1091</t>
  </si>
  <si>
    <t>2025-10-01</t>
  </si>
  <si>
    <t>Neha Reddy</t>
  </si>
  <si>
    <t>ORD1092</t>
  </si>
  <si>
    <t>2025-10-04</t>
  </si>
  <si>
    <t>Pooja Shetty</t>
  </si>
  <si>
    <t>ORD1093</t>
  </si>
  <si>
    <t>2025-10-07</t>
  </si>
  <si>
    <t>ORD1094</t>
  </si>
  <si>
    <t>2025-10-10</t>
  </si>
  <si>
    <t>ORD1095</t>
  </si>
  <si>
    <t>2025-10-13</t>
  </si>
  <si>
    <t>Ishita Gupta</t>
  </si>
  <si>
    <t>ORD1096</t>
  </si>
  <si>
    <t>2025-10-16</t>
  </si>
  <si>
    <t>Vivaan Sharma</t>
  </si>
  <si>
    <t>ORD1097</t>
  </si>
  <si>
    <t>2025-10-19</t>
  </si>
  <si>
    <t>Diya Patel</t>
  </si>
  <si>
    <t>ORD1098</t>
  </si>
  <si>
    <t>2025-10-22</t>
  </si>
  <si>
    <t>ORD1099</t>
  </si>
  <si>
    <t>2025-10-25</t>
  </si>
  <si>
    <t>Ishita Sharma</t>
  </si>
  <si>
    <t>ORD1100</t>
  </si>
  <si>
    <t>2025-10-28</t>
  </si>
  <si>
    <t>ORD1101</t>
  </si>
  <si>
    <t>2025-10-31</t>
  </si>
  <si>
    <t>Row Labels</t>
  </si>
  <si>
    <t>Grand Total</t>
  </si>
  <si>
    <t>Sum of Sales</t>
  </si>
  <si>
    <t>Sum of Profit</t>
  </si>
  <si>
    <t>Count of Order_ID</t>
  </si>
  <si>
    <t>Sum of Quantity</t>
  </si>
  <si>
    <t>RETAIL SALES DASHBOARD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</si>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</sst>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Times New Roman"/>
      <family val="1"/>
    </font>
    <font>
      <sz val="28"/>
      <color rgb="FFFFFFFF"/>
      <name val="Calibri BOLD"/>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2121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2" borderId="0" xfId="0" applyFill="1"/>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0" xfId="0" applyNumberFormat="1"/>
    <xf numFmtId="0" fontId="2" fillId="3" borderId="0" xfId="0" applyFont="1" applyFill="1" applyAlignment="1">
      <alignment horizontal="center"/>
    </xf>
  </cellXfs>
  <cellStyles count="1">
    <cellStyle name="Normal" xfId="0" builtinId="0"/>
  </cellStyles>
  <dxfs count="6">
    <dxf>
      <font>
        <b/>
        <i val="0"/>
        <sz val="14"/>
        <color theme="0"/>
      </font>
      <fill>
        <patternFill>
          <bgColor theme="1"/>
        </patternFill>
      </fill>
      <border diagonalUp="0" diagonalDown="0">
        <left/>
        <right/>
        <top/>
        <bottom/>
        <vertical/>
        <horizontal/>
      </border>
    </dxf>
    <dxf>
      <font>
        <b/>
        <i val="0"/>
        <sz val="14"/>
        <color theme="0"/>
      </font>
      <fill>
        <patternFill>
          <bgColor rgb="FF002060"/>
        </patternFill>
      </fill>
      <border diagonalUp="0" diagonalDown="0">
        <left/>
        <right/>
        <top/>
        <bottom/>
        <vertical/>
        <horizontal/>
      </border>
    </dxf>
    <dxf>
      <font>
        <b/>
        <i val="0"/>
        <sz val="14"/>
        <color theme="0"/>
      </font>
      <fill>
        <patternFill>
          <bgColor theme="3" tint="-0.24994659260841701"/>
        </patternFill>
      </fill>
      <border diagonalUp="0" diagonalDown="0">
        <left/>
        <right/>
        <top/>
        <bottom/>
        <vertical/>
        <horizontal/>
      </border>
    </dxf>
    <dxf>
      <font>
        <color theme="0"/>
      </font>
      <fill>
        <patternFill>
          <bgColor theme="3" tint="-0.24994659260841701"/>
        </patternFill>
      </fill>
      <border diagonalUp="0" diagonalDown="0">
        <left/>
        <right/>
        <top/>
        <bottom/>
        <vertical/>
        <horizontal/>
      </border>
    </dxf>
    <dxf>
      <fill>
        <patternFill>
          <bgColor rgb="FF002060"/>
        </patternFill>
      </fill>
    </dxf>
    <dxf>
      <fill>
        <patternFill>
          <bgColor theme="0"/>
        </patternFill>
      </fill>
      <border diagonalUp="0" diagonalDown="0">
        <left/>
        <right/>
        <top/>
        <bottom/>
        <vertical/>
        <horizontal/>
      </border>
    </dxf>
  </dxfs>
  <tableStyles count="5" defaultTableStyle="TableStyleMedium9" defaultPivotStyle="PivotStyleLight16">
    <tableStyle name="Slicer Style 1" pivot="0" table="0" count="9" xr9:uid="{3A983501-2995-42A5-9620-B900213C1EFB}">
      <tableStyleElement type="wholeTable" dxfId="5"/>
      <tableStyleElement type="headerRow" dxfId="4"/>
    </tableStyle>
    <tableStyle name="Slicer Style 2" pivot="0" table="0" count="1" xr9:uid="{A57F7FFE-6AC9-46A2-AF80-424E938227FB}">
      <tableStyleElement type="headerRow" dxfId="3"/>
    </tableStyle>
    <tableStyle name="Slicer Style 3" pivot="0" table="0" count="4" xr9:uid="{57A3A93C-E1C5-4D68-BBC6-75799898640A}">
      <tableStyleElement type="headerRow" dxfId="2"/>
    </tableStyle>
    <tableStyle name="Slicer Style 4" pivot="0" table="0" count="5" xr9:uid="{5F0BC44E-0D75-4056-802C-9EF8C8C63451}">
      <tableStyleElement type="headerRow" dxfId="1"/>
    </tableStyle>
    <tableStyle name="Slicer Style 5" pivot="0" table="0" count="5" xr9:uid="{7FB4338D-B085-4B33-8C3F-E8D0DD1BB55F}">
      <tableStyleElement type="headerRow" dxfId="0"/>
    </tableStyle>
  </tableStyles>
  <colors>
    <mruColors>
      <color rgb="FFA66500"/>
      <color rgb="FF007BB8"/>
      <color rgb="FFFFFFFF"/>
      <color rgb="FF000066"/>
      <color rgb="FF000000"/>
      <color rgb="FFE208C8"/>
      <color rgb="FF642F04"/>
      <color rgb="FF1C05A7"/>
      <color rgb="FF00AA48"/>
      <color rgb="FF15047E"/>
    </mruColors>
  </colors>
  <extLst>
    <ext xmlns:x14="http://schemas.microsoft.com/office/spreadsheetml/2009/9/main" uri="{46F421CA-312F-682f-3DD2-61675219B42D}">
      <x14:dxfs count="18">
        <dxf>
          <font>
            <sz val="12"/>
            <color theme="0"/>
          </font>
          <fill>
            <patternFill>
              <bgColor theme="1"/>
            </patternFill>
          </fill>
          <border diagonalUp="0" diagonalDown="0">
            <left/>
            <right/>
            <top/>
            <bottom/>
            <vertical/>
            <horizontal/>
          </border>
        </dxf>
        <dxf>
          <font>
            <sz val="12"/>
            <color theme="0"/>
          </font>
          <fill>
            <patternFill>
              <bgColor theme="1"/>
            </patternFill>
          </fill>
          <border diagonalUp="0" diagonalDown="0">
            <left/>
            <right/>
            <top/>
            <bottom/>
            <vertical/>
            <horizontal/>
          </border>
        </dxf>
        <dxf>
          <font>
            <sz val="12"/>
            <color theme="0"/>
          </font>
          <fill>
            <patternFill>
              <bgColor theme="1"/>
            </patternFill>
          </fill>
          <border diagonalUp="0" diagonalDown="0">
            <left/>
            <right/>
            <top/>
            <bottom/>
            <vertical/>
            <horizontal/>
          </border>
        </dxf>
        <dxf>
          <font>
            <sz val="12"/>
            <color theme="0"/>
          </font>
          <fill>
            <patternFill>
              <bgColor theme="1"/>
            </patternFill>
          </fill>
          <border diagonalUp="0" diagonalDown="0">
            <left/>
            <right/>
            <top/>
            <bottom/>
            <vertical/>
            <horizontal/>
          </border>
        </dxf>
        <dxf>
          <font>
            <color theme="0"/>
          </font>
          <fill>
            <patternFill>
              <bgColor rgb="FF002060"/>
            </patternFill>
          </fill>
          <border diagonalUp="0" diagonalDown="0">
            <left/>
            <right/>
            <top/>
            <bottom/>
            <vertical/>
            <horizontal/>
          </border>
        </dxf>
        <dxf>
          <font>
            <color theme="0"/>
          </font>
          <fill>
            <patternFill>
              <bgColor rgb="FF002060"/>
            </patternFill>
          </fill>
          <border diagonalUp="0" diagonalDown="0">
            <left/>
            <right/>
            <top/>
            <bottom/>
            <vertical/>
            <horizontal/>
          </border>
        </dxf>
        <dxf>
          <font>
            <color theme="0"/>
          </font>
          <fill>
            <patternFill>
              <bgColor rgb="FF002060"/>
            </patternFill>
          </fill>
          <border diagonalUp="0" diagonalDown="0">
            <left/>
            <right/>
            <top/>
            <bottom/>
            <vertical/>
            <horizontal/>
          </border>
        </dxf>
        <dxf>
          <font>
            <color theme="0"/>
          </font>
          <fill>
            <patternFill>
              <bgColor rgb="FF002060"/>
            </patternFill>
          </fill>
          <border diagonalUp="0" diagonalDown="0">
            <left/>
            <right/>
            <top/>
            <bottom/>
            <vertical/>
            <horizontal/>
          </border>
        </dxf>
        <dxf>
          <font>
            <color theme="0"/>
          </font>
          <fill>
            <patternFill>
              <bgColor theme="3" tint="-0.24994659260841701"/>
            </patternFill>
          </fill>
          <border diagonalUp="0" diagonalDown="0">
            <left/>
            <right/>
            <top/>
            <bottom/>
            <vertical/>
            <horizontal/>
          </border>
        </dxf>
        <dxf>
          <font>
            <color theme="0"/>
          </font>
          <fill>
            <patternFill>
              <bgColor theme="3" tint="-0.24994659260841701"/>
            </patternFill>
          </fill>
          <border diagonalUp="0" diagonalDown="0">
            <left/>
            <right/>
            <top/>
            <bottom/>
            <vertical/>
            <horizontal/>
          </border>
        </dxf>
        <dxf>
          <font>
            <color theme="0"/>
          </font>
          <fill>
            <patternFill>
              <bgColor theme="3" tint="-0.24994659260841701"/>
            </patternFill>
          </fill>
          <border diagonalUp="0" diagonalDown="0">
            <left/>
            <right/>
            <top/>
            <bottom/>
            <vertical/>
            <horizontal/>
          </border>
        </dxf>
        <dxf>
          <fill>
            <patternFill>
              <bgColor theme="3" tint="-0.24994659260841701"/>
            </patternFill>
          </fill>
        </dxf>
        <dxf>
          <fill>
            <patternFill>
              <bgColor theme="3" tint="-0.24994659260841701"/>
            </patternFill>
          </fill>
        </dxf>
        <dxf>
          <fill>
            <patternFill>
              <bgColor theme="3" tint="-0.24994659260841701"/>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SelectedItemWithNoData" dxfId="11"/>
          </x14:slicerStyleElements>
        </x14:slicerStyle>
        <x14:slicerStyle name="Slicer Style 2"/>
        <x14:slicerStyle name="Slicer Style 3">
          <x14:slicerStyleElements>
            <x14:slicerStyleElement type="hoveredUnselectedItemWithData" dxfId="10"/>
            <x14:slicerStyleElement type="hoveredSelectedItemWithData" dxfId="9"/>
            <x14:slicerStyleElement type="hoveredSelectedItemWithNoData" dxfId="8"/>
          </x14:slicerStyleElements>
        </x14:slicerStyle>
        <x14:slicerStyle name="Slicer Style 4">
          <x14:slicerStyleElements>
            <x14:slicerStyleElement type="hoveredUnselectedItemWithData" dxfId="5"/>
            <x14:slicerStyleElement type="hoveredSelectedItemWithData" dxfId="7"/>
            <x14:slicerStyleElement type="hoveredUnselectedItemWithNoData" dxfId="4"/>
            <x14:slicerStyleElement type="hoveredSelectedItemWithNoData" dxfId="6"/>
          </x14:slicerStyleElements>
        </x14:slicerStyle>
        <x14:slicerStyle name="Slicer Style 5">
          <x14:slicerStyleElements>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[Retail_dataset.xlsx]Pivot!PivotTable3</c:name>
    <c:fmtId val="8"/>
  </c:pivotSource>
  <c:chart>
    <c:autoTitleDeleted val="1"/>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Pivot!$B$23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Pivot!$A$24:$A$31</c:f>
              <c:strCache>
                <c:ptCount val="7"/>
                <c:pt idx="0">
                  <c:v>Delhi</c:v>
                </c:pt>
                <c:pt idx="1">
                  <c:v>Karnataka</c:v>
                </c:pt>
                <c:pt idx="2">
                  <c:v>Maharashtra</c:v>
                </c:pt>
                <c:pt idx="3">
                  <c:v>Rajasthan</c:v>
                </c:pt>
                <c:pt idx="4">
                  <c:v>Tamil Nadu</c:v>
                </c:pt>
                <c:pt idx="5">
                  <c:v>Telangana</c:v>
                </c:pt>
                <c:pt idx="6">
                  <c:v>West Bengal</c:v>
                </c:pt>
              </c:strCache>
            </c:strRef>
          </c:cat>
          <c:val>
            <c:numRef>
              <c:f>Pivot!$B$24:$B$31</c:f>
              <c:numCache>
                <c:formatCode>General</c:formatCode>
                <c:ptCount val="7"/>
                <c:pt idx="0">
                  <c:v>23017.5</c:v>
                </c:pt>
                <c:pt idx="1">
                  <c:v>55711.919999999991</c:v>
                </c:pt>
                <c:pt idx="2">
                  <c:v>42445.250000000007</c:v>
                </c:pt>
                <c:pt idx="3">
                  <c:v>25544.429999999997</c:v>
                </c:pt>
                <c:pt idx="4">
                  <c:v>19063.7</c:v>
                </c:pt>
                <c:pt idx="5">
                  <c:v>36288.010000000009</c:v>
                </c:pt>
                <c:pt idx="6">
                  <c:v>12542.9</c:v>
                </c:pt>
              </c:numCache>
            </c:numRef>
          </c:val>
          <c:extLst>
            <c:ext xmlns:c16="http://schemas.microsoft.com/office/drawing/2014/chart" uri="{C3380CC4-5D6E-409C-BE32-E72D297353CC}">
              <c16:uniqueId val="{00000000-8E16-4171-95CE-8C57B4667985}"/>
            </c:ext>
          </c:extLst>
        </c:ser>
        <c:dLbls>
          <c:showLegendKey val="0"/>
          <c:showVal val="1"/>
          <c:showCatName val="0"/>
          <c:showSerName val="0"/>
          <c:showPercent val="0"/>
          <c:showBubbleSize val="0"/>
        </c:dLbls>
        <c:gapWidth val="65"/>
        <c:shape val="box"/>
        <c:axId val="975897280"/>
        <c:axId val="975899200"/>
        <c:axId val="0"/>
      </c:bar3DChart>
      <c:catAx>
        <c:axId val="9758972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5899200"/>
        <c:crosses val="autoZero"/>
        <c:auto val="1"/>
        <c:lblAlgn val="ctr"/>
        <c:lblOffset val="100"/>
        <c:noMultiLvlLbl val="0"/>
      </c:catAx>
      <c:valAx>
        <c:axId val="9758992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58972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Pivot!$B$39</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DE9E-4597-B07C-F166BFE3EA9B}"/>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DE9E-4597-B07C-F166BFE3EA9B}"/>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DE9E-4597-B07C-F166BFE3EA9B}"/>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DE9E-4597-B07C-F166BFE3EA9B}"/>
              </c:ext>
            </c:extLst>
          </c:dPt>
          <c:cat>
            <c:strRef>
              <c:f>Pivot!$A$40:$A$44</c:f>
              <c:strCache>
                <c:ptCount val="4"/>
                <c:pt idx="0">
                  <c:v>Card</c:v>
                </c:pt>
                <c:pt idx="1">
                  <c:v>Cash</c:v>
                </c:pt>
                <c:pt idx="2">
                  <c:v>Net Banking</c:v>
                </c:pt>
                <c:pt idx="3">
                  <c:v>UPI</c:v>
                </c:pt>
              </c:strCache>
            </c:strRef>
          </c:cat>
          <c:val>
            <c:numRef>
              <c:f>Pivot!$B$40:$B$44</c:f>
              <c:numCache>
                <c:formatCode>General</c:formatCode>
                <c:ptCount val="4"/>
                <c:pt idx="0">
                  <c:v>21</c:v>
                </c:pt>
                <c:pt idx="1">
                  <c:v>28</c:v>
                </c:pt>
                <c:pt idx="2">
                  <c:v>25</c:v>
                </c:pt>
                <c:pt idx="3">
                  <c:v>26</c:v>
                </c:pt>
              </c:numCache>
            </c:numRef>
          </c:val>
          <c:extLst>
            <c:ext xmlns:c16="http://schemas.microsoft.com/office/drawing/2014/chart" uri="{C3380CC4-5D6E-409C-BE32-E72D297353CC}">
              <c16:uniqueId val="{00000000-F27F-4C95-897F-F61F3DE301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Pivot!$B$49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3C7-4946-924C-5C222D2E5FB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3C7-4946-924C-5C222D2E5FB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3C7-4946-924C-5C222D2E5FB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3C7-4946-924C-5C222D2E5FB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3C7-4946-924C-5C222D2E5FB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3C7-4946-924C-5C222D2E5FB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3C7-4946-924C-5C222D2E5FB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3C7-4946-924C-5C222D2E5FB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3C7-4946-924C-5C222D2E5FB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3C7-4946-924C-5C222D2E5FBE}"/>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23C7-4946-924C-5C222D2E5FBE}"/>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23C7-4946-924C-5C222D2E5FBE}"/>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23C7-4946-924C-5C222D2E5FBE}"/>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23C7-4946-924C-5C222D2E5FBE}"/>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23C7-4946-924C-5C222D2E5FBE}"/>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23C7-4946-924C-5C222D2E5FBE}"/>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23C7-4946-924C-5C222D2E5FBE}"/>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23C7-4946-924C-5C222D2E5FBE}"/>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23C7-4946-924C-5C222D2E5FBE}"/>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23C7-4946-924C-5C222D2E5FBE}"/>
              </c:ext>
            </c:extLst>
          </c:dPt>
          <c:cat>
            <c:strRef>
              <c:f>Pivot!$A$50:$A$70</c:f>
              <c:strCache>
                <c:ptCount val="20"/>
                <c:pt idx="0">
                  <c:v>Coffee</c:v>
                </c:pt>
                <c:pt idx="1">
                  <c:v>Cookware</c:v>
                </c:pt>
                <c:pt idx="2">
                  <c:v>Fan</c:v>
                </c:pt>
                <c:pt idx="3">
                  <c:v>Handbag</c:v>
                </c:pt>
                <c:pt idx="4">
                  <c:v>Headphones</c:v>
                </c:pt>
                <c:pt idx="5">
                  <c:v>Jacket</c:v>
                </c:pt>
                <c:pt idx="6">
                  <c:v>Jeans</c:v>
                </c:pt>
                <c:pt idx="7">
                  <c:v>Laptop</c:v>
                </c:pt>
                <c:pt idx="8">
                  <c:v>Mixer</c:v>
                </c:pt>
                <c:pt idx="9">
                  <c:v>Monitor</c:v>
                </c:pt>
                <c:pt idx="10">
                  <c:v>Oil</c:v>
                </c:pt>
                <c:pt idx="11">
                  <c:v>Rice</c:v>
                </c:pt>
                <c:pt idx="12">
                  <c:v>Shoes</c:v>
                </c:pt>
                <c:pt idx="13">
                  <c:v>Smartphone</c:v>
                </c:pt>
                <c:pt idx="14">
                  <c:v>Smartwatch</c:v>
                </c:pt>
                <c:pt idx="15">
                  <c:v>Sugar</c:v>
                </c:pt>
                <c:pt idx="16">
                  <c:v>Tea</c:v>
                </c:pt>
                <c:pt idx="17">
                  <c:v>T-Shirt</c:v>
                </c:pt>
                <c:pt idx="18">
                  <c:v>Vacuum</c:v>
                </c:pt>
                <c:pt idx="19">
                  <c:v>Water Purifier</c:v>
                </c:pt>
              </c:strCache>
            </c:strRef>
          </c:cat>
          <c:val>
            <c:numRef>
              <c:f>Pivot!$B$50:$B$70</c:f>
              <c:numCache>
                <c:formatCode>General</c:formatCode>
                <c:ptCount val="20"/>
                <c:pt idx="0">
                  <c:v>19</c:v>
                </c:pt>
                <c:pt idx="1">
                  <c:v>6</c:v>
                </c:pt>
                <c:pt idx="2">
                  <c:v>32</c:v>
                </c:pt>
                <c:pt idx="3">
                  <c:v>29</c:v>
                </c:pt>
                <c:pt idx="4">
                  <c:v>38</c:v>
                </c:pt>
                <c:pt idx="5">
                  <c:v>24</c:v>
                </c:pt>
                <c:pt idx="6">
                  <c:v>26</c:v>
                </c:pt>
                <c:pt idx="7">
                  <c:v>10</c:v>
                </c:pt>
                <c:pt idx="8">
                  <c:v>27</c:v>
                </c:pt>
                <c:pt idx="9">
                  <c:v>14</c:v>
                </c:pt>
                <c:pt idx="10">
                  <c:v>17</c:v>
                </c:pt>
                <c:pt idx="11">
                  <c:v>21</c:v>
                </c:pt>
                <c:pt idx="12">
                  <c:v>27</c:v>
                </c:pt>
                <c:pt idx="13">
                  <c:v>39</c:v>
                </c:pt>
                <c:pt idx="14">
                  <c:v>48</c:v>
                </c:pt>
                <c:pt idx="15">
                  <c:v>19</c:v>
                </c:pt>
                <c:pt idx="16">
                  <c:v>21</c:v>
                </c:pt>
                <c:pt idx="17">
                  <c:v>32</c:v>
                </c:pt>
                <c:pt idx="18">
                  <c:v>11</c:v>
                </c:pt>
                <c:pt idx="19">
                  <c:v>20</c:v>
                </c:pt>
              </c:numCache>
            </c:numRef>
          </c:val>
          <c:extLst>
            <c:ext xmlns:c16="http://schemas.microsoft.com/office/drawing/2014/chart" uri="{C3380CC4-5D6E-409C-BE32-E72D297353CC}">
              <c16:uniqueId val="{00000000-4F5D-4C9A-AB8E-BB295A7686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[Retail_dataset.xlsx]Pivot!PivotTable5</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Pivot!$A$74:$A$78</c:f>
              <c:strCache>
                <c:ptCount val="4"/>
                <c:pt idx="0">
                  <c:v>Cancelled</c:v>
                </c:pt>
                <c:pt idx="1">
                  <c:v>Delivered</c:v>
                </c:pt>
                <c:pt idx="2">
                  <c:v>Pending</c:v>
                </c:pt>
                <c:pt idx="3">
                  <c:v>Returned</c:v>
                </c:pt>
              </c:strCache>
            </c:strRef>
          </c:cat>
          <c:val>
            <c:numRef>
              <c:f>Pivot!$B$74:$B$78</c:f>
              <c:numCache>
                <c:formatCode>General</c:formatCode>
                <c:ptCount val="4"/>
                <c:pt idx="0">
                  <c:v>20</c:v>
                </c:pt>
                <c:pt idx="1">
                  <c:v>32</c:v>
                </c:pt>
                <c:pt idx="2">
                  <c:v>23</c:v>
                </c:pt>
                <c:pt idx="3">
                  <c:v>25</c:v>
                </c:pt>
              </c:numCache>
            </c:numRef>
          </c:val>
          <c:smooth val="0"/>
          <c:extLst>
            <c:ext xmlns:c16="http://schemas.microsoft.com/office/drawing/2014/chart" uri="{C3380CC4-5D6E-409C-BE32-E72D297353CC}">
              <c16:uniqueId val="{00000000-9F09-4208-B32D-F3257EF5C86A}"/>
            </c:ext>
          </c:extLst>
        </c:ser>
        <c:dLbls>
          <c:dLblPos val="ctr"/>
          <c:showLegendKey val="0"/>
          <c:showVal val="1"/>
          <c:showCatName val="0"/>
          <c:showSerName val="0"/>
          <c:showPercent val="0"/>
          <c:showBubbleSize val="0"/>
        </c:dLbls>
        <c:marker val="1"/>
        <c:smooth val="0"/>
        <c:axId val="1035652208"/>
        <c:axId val="1035645008"/>
      </c:lineChart>
      <c:catAx>
        <c:axId val="1035652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645008"/>
        <c:crosses val="autoZero"/>
        <c:auto val="1"/>
        <c:lblAlgn val="ctr"/>
        <c:lblOffset val="100"/>
        <c:noMultiLvlLbl val="0"/>
      </c:catAx>
      <c:valAx>
        <c:axId val="1035645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65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[Retail_dataset.xlsx]Pivot!PivotTable7</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Pivot!$B$91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5EA-4352-B2BA-A891FD46C65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5EA-4352-B2BA-A891FD46C65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5EA-4352-B2BA-A891FD46C65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5EA-4352-B2BA-A891FD46C65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5EA-4352-B2BA-A891FD46C65D}"/>
              </c:ext>
            </c:extLst>
          </c:dPt>
          <c:cat>
            <c:strRef>
              <c:f>Pivot!$A$92:$A$96</c:f>
              <c:strCache>
                <c:ptCount val="4"/>
                <c:pt idx="0">
                  <c:v>5</c:v>
                </c:pt>
                <c:pt idx="1">
                  <c:v>10</c:v>
                </c:pt>
                <c:pt idx="2">
                  <c:v>15</c:v>
                </c:pt>
                <c:pt idx="3">
                  <c:v>20</c:v>
                </c:pt>
              </c:strCache>
            </c:strRef>
          </c:cat>
          <c:val>
            <c:numRef>
              <c:f>Pivot!$B$92:$B$96</c:f>
              <c:numCache>
                <c:formatCode>General</c:formatCode>
                <c:ptCount val="4"/>
                <c:pt idx="0">
                  <c:v>142824.9</c:v>
                </c:pt>
                <c:pt idx="1">
                  <c:v>260843.4</c:v>
                </c:pt>
                <c:pt idx="2">
                  <c:v>395832.25</c:v>
                </c:pt>
                <c:pt idx="3">
                  <c:v>273568</c:v>
                </c:pt>
              </c:numCache>
            </c:numRef>
          </c:val>
          <c:extLst>
            <c:ext xmlns:c16="http://schemas.microsoft.com/office/drawing/2014/chart" uri="{C3380CC4-5D6E-409C-BE32-E72D297353CC}">
              <c16:uniqueId val="{00000000-7C40-4F75-9F79-CEB8C8A6DBF0}"/>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[Retail_dataset.xlsx]Pivot!PivotTable2</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05A7"/>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rgbClr val="00AA48"/>
          </a:solidFill>
          <a:ln>
            <a:noFill/>
          </a:ln>
          <a:effectLst/>
        </c:spPr>
      </c:pivotFmt>
      <c:pivotFmt>
        <c:idx val="9"/>
        <c:spPr>
          <a:solidFill>
            <a:srgbClr val="7030A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C05A7"/>
          </a:solidFill>
          <a:ln>
            <a:noFill/>
          </a:ln>
          <a:effectLst/>
        </c:spPr>
      </c:pivotFmt>
      <c:pivotFmt>
        <c:idx val="12"/>
        <c:spPr>
          <a:solidFill>
            <a:schemeClr val="accent6">
              <a:lumMod val="75000"/>
            </a:schemeClr>
          </a:solidFill>
          <a:ln>
            <a:noFill/>
          </a:ln>
          <a:effectLst/>
        </c:spPr>
      </c:pivotFmt>
      <c:pivotFmt>
        <c:idx val="13"/>
        <c:spPr>
          <a:solidFill>
            <a:srgbClr val="00AA48"/>
          </a:solidFill>
          <a:ln>
            <a:noFill/>
          </a:ln>
          <a:effectLst/>
        </c:spPr>
      </c:pivotFmt>
      <c:pivotFmt>
        <c:idx val="14"/>
        <c:spPr>
          <a:solidFill>
            <a:srgbClr val="7030A0"/>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C05A7"/>
          </a:solidFill>
          <a:ln>
            <a:noFill/>
          </a:ln>
          <a:effectLst/>
        </c:spPr>
      </c:pivotFmt>
      <c:pivotFmt>
        <c:idx val="17"/>
        <c:spPr>
          <a:solidFill>
            <a:schemeClr val="accent6">
              <a:lumMod val="75000"/>
            </a:schemeClr>
          </a:solidFill>
          <a:ln>
            <a:noFill/>
          </a:ln>
          <a:effectLst/>
        </c:spPr>
      </c:pivotFmt>
      <c:pivotFmt>
        <c:idx val="18"/>
        <c:spPr>
          <a:solidFill>
            <a:srgbClr val="00AA48"/>
          </a:solidFill>
          <a:ln>
            <a:noFill/>
          </a:ln>
          <a:effectLst/>
        </c:spPr>
      </c:pivotFmt>
      <c:pivotFmt>
        <c:idx val="19"/>
        <c:spPr>
          <a:solidFill>
            <a:srgbClr val="7030A0"/>
          </a:solidFill>
          <a:ln>
            <a:noFill/>
          </a:ln>
          <a:effectLst/>
        </c:spPr>
      </c:pivotFmt>
    </c:pivotFmts>
    <c:plotArea>
      <c:layout>
        <c:manualLayout>
          <c:layoutTarget val="inner"/>
          <c:xMode val="edge"/>
          <c:yMode val="edge"/>
          <c:x val="0.14556545444784955"/>
          <c:y val="0.19925107750557461"/>
          <c:w val="0.69472046783625729"/>
          <c:h val="0.64471811023622039"/>
        </c:manualLayout>
      </c:layout>
      <c:barChart>
        <c:barDir val="col"/>
        <c:grouping val="clustered"/>
        <c:varyColors val="0"/>
        <c:ser>
          <c:idx val="0"/>
          <c:order val="0"/>
          <c:tx>
            <c:strRef>
              <c:f>Pivot!$B$7</c:f>
              <c:strCache>
                <c:ptCount val="1"/>
                <c:pt idx="0">
                  <c:v>Total</c:v>
                </c:pt>
              </c:strCache>
            </c:strRef>
          </c:tx>
          <c:spPr>
            <a:solidFill>
              <a:schemeClr val="accent1"/>
            </a:solidFill>
            <a:ln>
              <a:noFill/>
            </a:ln>
            <a:effectLst/>
          </c:spPr>
          <c:invertIfNegative val="0"/>
          <c:dPt>
            <c:idx val="0"/>
            <c:invertIfNegative val="0"/>
            <c:bubble3D val="0"/>
            <c:spPr>
              <a:solidFill>
                <a:srgbClr val="1C05A7"/>
              </a:solidFill>
              <a:ln>
                <a:noFill/>
              </a:ln>
              <a:effectLst/>
            </c:spPr>
            <c:extLst>
              <c:ext xmlns:c16="http://schemas.microsoft.com/office/drawing/2014/chart" uri="{C3380CC4-5D6E-409C-BE32-E72D297353CC}">
                <c16:uniqueId val="{00000001-E6B5-4DC8-9FB0-F326B21B66E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E6B5-4DC8-9FB0-F326B21B66E6}"/>
              </c:ext>
            </c:extLst>
          </c:dPt>
          <c:dPt>
            <c:idx val="2"/>
            <c:invertIfNegative val="0"/>
            <c:bubble3D val="0"/>
            <c:spPr>
              <a:solidFill>
                <a:srgbClr val="00AA48"/>
              </a:solidFill>
              <a:ln>
                <a:noFill/>
              </a:ln>
              <a:effectLst/>
            </c:spPr>
            <c:extLst>
              <c:ext xmlns:c16="http://schemas.microsoft.com/office/drawing/2014/chart" uri="{C3380CC4-5D6E-409C-BE32-E72D297353CC}">
                <c16:uniqueId val="{00000005-E6B5-4DC8-9FB0-F326B21B66E6}"/>
              </c:ext>
            </c:extLst>
          </c:dPt>
          <c:dPt>
            <c:idx val="3"/>
            <c:invertIfNegative val="0"/>
            <c:bubble3D val="0"/>
            <c:spPr>
              <a:solidFill>
                <a:srgbClr val="7030A0"/>
              </a:solidFill>
              <a:ln>
                <a:noFill/>
              </a:ln>
              <a:effectLst/>
            </c:spPr>
            <c:extLst>
              <c:ext xmlns:c16="http://schemas.microsoft.com/office/drawing/2014/chart" uri="{C3380CC4-5D6E-409C-BE32-E72D297353CC}">
                <c16:uniqueId val="{00000007-E6B5-4DC8-9FB0-F326B21B66E6}"/>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Electronics</c:v>
                </c:pt>
                <c:pt idx="1">
                  <c:v>Fashion</c:v>
                </c:pt>
                <c:pt idx="2">
                  <c:v>Groceries</c:v>
                </c:pt>
                <c:pt idx="3">
                  <c:v>Home</c:v>
                </c:pt>
              </c:strCache>
            </c:strRef>
          </c:cat>
          <c:val>
            <c:numRef>
              <c:f>Pivot!$B$8:$B$12</c:f>
              <c:numCache>
                <c:formatCode>General</c:formatCode>
                <c:ptCount val="4"/>
                <c:pt idx="0">
                  <c:v>303814.90000000002</c:v>
                </c:pt>
                <c:pt idx="1">
                  <c:v>324980.84999999998</c:v>
                </c:pt>
                <c:pt idx="2">
                  <c:v>222708.55</c:v>
                </c:pt>
                <c:pt idx="3">
                  <c:v>221564.25</c:v>
                </c:pt>
              </c:numCache>
            </c:numRef>
          </c:val>
          <c:extLst>
            <c:ext xmlns:c16="http://schemas.microsoft.com/office/drawing/2014/chart" uri="{C3380CC4-5D6E-409C-BE32-E72D297353CC}">
              <c16:uniqueId val="{00000008-E6B5-4DC8-9FB0-F326B21B66E6}"/>
            </c:ext>
          </c:extLst>
        </c:ser>
        <c:dLbls>
          <c:dLblPos val="outEnd"/>
          <c:showLegendKey val="0"/>
          <c:showVal val="1"/>
          <c:showCatName val="0"/>
          <c:showSerName val="0"/>
          <c:showPercent val="0"/>
          <c:showBubbleSize val="0"/>
        </c:dLbls>
        <c:gapWidth val="219"/>
        <c:overlap val="-27"/>
        <c:axId val="1135680048"/>
        <c:axId val="1135673328"/>
      </c:barChart>
      <c:catAx>
        <c:axId val="113568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35673328"/>
        <c:crosses val="autoZero"/>
        <c:auto val="1"/>
        <c:lblAlgn val="ctr"/>
        <c:lblOffset val="100"/>
        <c:noMultiLvlLbl val="0"/>
      </c:catAx>
      <c:valAx>
        <c:axId val="113567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3568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[Retail_dataset.xlsx]Pivot!PivotTable3</c:name>
    <c:fmtId val="1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1C05A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446002069872497"/>
                  <c:h val="0.11766931219016244"/>
                </c:manualLayout>
              </c15:layout>
            </c:ext>
          </c:extLst>
        </c:dLbl>
      </c:pivotFmt>
      <c:pivotFmt>
        <c:idx val="1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solidFill>
            <a:srgbClr val="642F0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solidFill>
            <a:srgbClr val="E208C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3749399497650234"/>
          <c:y val="0.18911838188353419"/>
          <c:w val="0.43299005847953215"/>
          <c:h val="0.6851940961083568"/>
        </c:manualLayout>
      </c:layout>
      <c:barChart>
        <c:barDir val="bar"/>
        <c:grouping val="stacked"/>
        <c:varyColors val="0"/>
        <c:ser>
          <c:idx val="0"/>
          <c:order val="0"/>
          <c:tx>
            <c:strRef>
              <c:f>Pivot!$B$23</c:f>
              <c:strCache>
                <c:ptCount val="1"/>
                <c:pt idx="0">
                  <c:v>Total</c:v>
                </c:pt>
              </c:strCache>
            </c:strRef>
          </c:tx>
          <c:spPr>
            <a:solidFill>
              <a:schemeClr val="tx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E208C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0E2-45FB-80D8-A3A6CAC7B06A}"/>
              </c:ext>
            </c:extLst>
          </c:dPt>
          <c:dPt>
            <c:idx val="1"/>
            <c:invertIfNegative val="0"/>
            <c:bubble3D val="0"/>
            <c:spPr>
              <a:solidFill>
                <a:srgbClr val="642F0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A0E2-45FB-80D8-A3A6CAC7B06A}"/>
              </c:ext>
            </c:extLst>
          </c:dPt>
          <c:dPt>
            <c:idx val="2"/>
            <c:invertIfNegative val="0"/>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0E2-45FB-80D8-A3A6CAC7B06A}"/>
              </c:ext>
            </c:extLst>
          </c:dPt>
          <c:dPt>
            <c:idx val="3"/>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A0E2-45FB-80D8-A3A6CAC7B06A}"/>
              </c:ext>
            </c:extLst>
          </c:dPt>
          <c:dPt>
            <c:idx val="4"/>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0E2-45FB-80D8-A3A6CAC7B06A}"/>
              </c:ext>
            </c:extLst>
          </c:dPt>
          <c:dPt>
            <c:idx val="5"/>
            <c:invertIfNegative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E2-45FB-80D8-A3A6CAC7B06A}"/>
              </c:ext>
            </c:extLst>
          </c:dPt>
          <c:dPt>
            <c:idx val="6"/>
            <c:invertIfNegative val="0"/>
            <c:bubble3D val="0"/>
            <c:spPr>
              <a:solidFill>
                <a:srgbClr val="1C05A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0E2-45FB-80D8-A3A6CAC7B06A}"/>
              </c:ext>
            </c:extLst>
          </c:dPt>
          <c:dLbls>
            <c:dLbl>
              <c:idx val="6"/>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446002069872497"/>
                      <c:h val="0.11766931219016244"/>
                    </c:manualLayout>
                  </c15:layout>
                </c:ext>
                <c:ext xmlns:c16="http://schemas.microsoft.com/office/drawing/2014/chart" uri="{C3380CC4-5D6E-409C-BE32-E72D297353CC}">
                  <c16:uniqueId val="{0000000F-A0E2-45FB-80D8-A3A6CAC7B0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Pivot!$A$24:$A$31</c:f>
              <c:strCache>
                <c:ptCount val="7"/>
                <c:pt idx="0">
                  <c:v>Delhi</c:v>
                </c:pt>
                <c:pt idx="1">
                  <c:v>Karnataka</c:v>
                </c:pt>
                <c:pt idx="2">
                  <c:v>Maharashtra</c:v>
                </c:pt>
                <c:pt idx="3">
                  <c:v>Rajasthan</c:v>
                </c:pt>
                <c:pt idx="4">
                  <c:v>Tamil Nadu</c:v>
                </c:pt>
                <c:pt idx="5">
                  <c:v>Telangana</c:v>
                </c:pt>
                <c:pt idx="6">
                  <c:v>West Bengal</c:v>
                </c:pt>
              </c:strCache>
            </c:strRef>
          </c:cat>
          <c:val>
            <c:numRef>
              <c:f>Pivot!$B$24:$B$31</c:f>
              <c:numCache>
                <c:formatCode>General</c:formatCode>
                <c:ptCount val="7"/>
                <c:pt idx="0">
                  <c:v>23017.5</c:v>
                </c:pt>
                <c:pt idx="1">
                  <c:v>55711.919999999991</c:v>
                </c:pt>
                <c:pt idx="2">
                  <c:v>42445.250000000007</c:v>
                </c:pt>
                <c:pt idx="3">
                  <c:v>25544.429999999997</c:v>
                </c:pt>
                <c:pt idx="4">
                  <c:v>19063.7</c:v>
                </c:pt>
                <c:pt idx="5">
                  <c:v>36288.010000000009</c:v>
                </c:pt>
                <c:pt idx="6">
                  <c:v>12542.9</c:v>
                </c:pt>
              </c:numCache>
            </c:numRef>
          </c:val>
          <c:extLst>
            <c:ext xmlns:c16="http://schemas.microsoft.com/office/drawing/2014/chart" uri="{C3380CC4-5D6E-409C-BE32-E72D297353CC}">
              <c16:uniqueId val="{00000000-EC76-4EC3-AD49-4AF7A5028F82}"/>
            </c:ext>
          </c:extLst>
        </c:ser>
        <c:dLbls>
          <c:showLegendKey val="0"/>
          <c:showVal val="1"/>
          <c:showCatName val="0"/>
          <c:showSerName val="0"/>
          <c:showPercent val="0"/>
          <c:showBubbleSize val="0"/>
        </c:dLbls>
        <c:gapWidth val="150"/>
        <c:overlap val="100"/>
        <c:axId val="975897280"/>
        <c:axId val="975899200"/>
      </c:barChart>
      <c:catAx>
        <c:axId val="975897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75899200"/>
        <c:crosses val="autoZero"/>
        <c:auto val="1"/>
        <c:lblAlgn val="ctr"/>
        <c:lblOffset val="100"/>
        <c:noMultiLvlLbl val="0"/>
      </c:catAx>
      <c:valAx>
        <c:axId val="975899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589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[Retail_dataset.xlsx]Pivot!PivotTable4</c:name>
    <c:fmtId val="6"/>
  </c:pivotSource>
  <c:chart>
    <c:title>
      <c:layout>
        <c:manualLayout>
          <c:xMode val="edge"/>
          <c:yMode val="edge"/>
          <c:x val="0.41700341293971921"/>
          <c:y val="4.252741729706047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Pivot!$B$39</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C2-4A43-A2ED-03829977491F}"/>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C2-4A43-A2ED-03829977491F}"/>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C2-4A43-A2ED-03829977491F}"/>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9C2-4A43-A2ED-03829977491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Pivot!$A$40:$A$44</c:f>
              <c:strCache>
                <c:ptCount val="4"/>
                <c:pt idx="0">
                  <c:v>Card</c:v>
                </c:pt>
                <c:pt idx="1">
                  <c:v>Cash</c:v>
                </c:pt>
                <c:pt idx="2">
                  <c:v>Net Banking</c:v>
                </c:pt>
                <c:pt idx="3">
                  <c:v>UPI</c:v>
                </c:pt>
              </c:strCache>
            </c:strRef>
          </c:cat>
          <c:val>
            <c:numRef>
              <c:f>Pivot!$B$40:$B$44</c:f>
              <c:numCache>
                <c:formatCode>General</c:formatCode>
                <c:ptCount val="4"/>
                <c:pt idx="0">
                  <c:v>21</c:v>
                </c:pt>
                <c:pt idx="1">
                  <c:v>28</c:v>
                </c:pt>
                <c:pt idx="2">
                  <c:v>25</c:v>
                </c:pt>
                <c:pt idx="3">
                  <c:v>26</c:v>
                </c:pt>
              </c:numCache>
            </c:numRef>
          </c:val>
          <c:extLst>
            <c:ext xmlns:c16="http://schemas.microsoft.com/office/drawing/2014/chart" uri="{C3380CC4-5D6E-409C-BE32-E72D297353CC}">
              <c16:uniqueId val="{00000008-49C2-4A43-A2ED-03829977491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a:outerShdw blurRad="50800" dist="50800" dir="5400000" algn="ctr" rotWithShape="0">
            <a:srgbClr val="FFFFFF"/>
          </a:outerShdw>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[Retail_dataset.xlsx]Pivot!PivotTable6</c:name>
    <c:fmtId val="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927456140350877"/>
          <c:y val="0.28810185185185183"/>
          <c:w val="0.44590643274853803"/>
          <c:h val="0.70601851851851849"/>
        </c:manualLayout>
      </c:layout>
      <c:doughnutChart>
        <c:varyColors val="1"/>
        <c:ser>
          <c:idx val="0"/>
          <c:order val="0"/>
          <c:tx>
            <c:strRef>
              <c:f>Pivot!$B$49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15-44B3-B8CA-F0650E5E6C8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15-44B3-B8CA-F0650E5E6C8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15-44B3-B8CA-F0650E5E6C8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415-44B3-B8CA-F0650E5E6C8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415-44B3-B8CA-F0650E5E6C8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415-44B3-B8CA-F0650E5E6C8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415-44B3-B8CA-F0650E5E6C80}"/>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415-44B3-B8CA-F0650E5E6C80}"/>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415-44B3-B8CA-F0650E5E6C80}"/>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415-44B3-B8CA-F0650E5E6C80}"/>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2415-44B3-B8CA-F0650E5E6C80}"/>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2415-44B3-B8CA-F0650E5E6C80}"/>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2415-44B3-B8CA-F0650E5E6C80}"/>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2415-44B3-B8CA-F0650E5E6C80}"/>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2415-44B3-B8CA-F0650E5E6C80}"/>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2415-44B3-B8CA-F0650E5E6C80}"/>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2415-44B3-B8CA-F0650E5E6C80}"/>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2415-44B3-B8CA-F0650E5E6C80}"/>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2415-44B3-B8CA-F0650E5E6C80}"/>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2415-44B3-B8CA-F0650E5E6C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Pivot!$A$50:$A$70</c:f>
              <c:strCache>
                <c:ptCount val="20"/>
                <c:pt idx="0">
                  <c:v>Coffee</c:v>
                </c:pt>
                <c:pt idx="1">
                  <c:v>Cookware</c:v>
                </c:pt>
                <c:pt idx="2">
                  <c:v>Fan</c:v>
                </c:pt>
                <c:pt idx="3">
                  <c:v>Handbag</c:v>
                </c:pt>
                <c:pt idx="4">
                  <c:v>Headphones</c:v>
                </c:pt>
                <c:pt idx="5">
                  <c:v>Jacket</c:v>
                </c:pt>
                <c:pt idx="6">
                  <c:v>Jeans</c:v>
                </c:pt>
                <c:pt idx="7">
                  <c:v>Laptop</c:v>
                </c:pt>
                <c:pt idx="8">
                  <c:v>Mixer</c:v>
                </c:pt>
                <c:pt idx="9">
                  <c:v>Monitor</c:v>
                </c:pt>
                <c:pt idx="10">
                  <c:v>Oil</c:v>
                </c:pt>
                <c:pt idx="11">
                  <c:v>Rice</c:v>
                </c:pt>
                <c:pt idx="12">
                  <c:v>Shoes</c:v>
                </c:pt>
                <c:pt idx="13">
                  <c:v>Smartphone</c:v>
                </c:pt>
                <c:pt idx="14">
                  <c:v>Smartwatch</c:v>
                </c:pt>
                <c:pt idx="15">
                  <c:v>Sugar</c:v>
                </c:pt>
                <c:pt idx="16">
                  <c:v>Tea</c:v>
                </c:pt>
                <c:pt idx="17">
                  <c:v>T-Shirt</c:v>
                </c:pt>
                <c:pt idx="18">
                  <c:v>Vacuum</c:v>
                </c:pt>
                <c:pt idx="19">
                  <c:v>Water Purifier</c:v>
                </c:pt>
              </c:strCache>
            </c:strRef>
          </c:cat>
          <c:val>
            <c:numRef>
              <c:f>Pivot!$B$50:$B$70</c:f>
              <c:numCache>
                <c:formatCode>General</c:formatCode>
                <c:ptCount val="20"/>
                <c:pt idx="0">
                  <c:v>19</c:v>
                </c:pt>
                <c:pt idx="1">
                  <c:v>6</c:v>
                </c:pt>
                <c:pt idx="2">
                  <c:v>32</c:v>
                </c:pt>
                <c:pt idx="3">
                  <c:v>29</c:v>
                </c:pt>
                <c:pt idx="4">
                  <c:v>38</c:v>
                </c:pt>
                <c:pt idx="5">
                  <c:v>24</c:v>
                </c:pt>
                <c:pt idx="6">
                  <c:v>26</c:v>
                </c:pt>
                <c:pt idx="7">
                  <c:v>10</c:v>
                </c:pt>
                <c:pt idx="8">
                  <c:v>27</c:v>
                </c:pt>
                <c:pt idx="9">
                  <c:v>14</c:v>
                </c:pt>
                <c:pt idx="10">
                  <c:v>17</c:v>
                </c:pt>
                <c:pt idx="11">
                  <c:v>21</c:v>
                </c:pt>
                <c:pt idx="12">
                  <c:v>27</c:v>
                </c:pt>
                <c:pt idx="13">
                  <c:v>39</c:v>
                </c:pt>
                <c:pt idx="14">
                  <c:v>48</c:v>
                </c:pt>
                <c:pt idx="15">
                  <c:v>19</c:v>
                </c:pt>
                <c:pt idx="16">
                  <c:v>21</c:v>
                </c:pt>
                <c:pt idx="17">
                  <c:v>32</c:v>
                </c:pt>
                <c:pt idx="18">
                  <c:v>11</c:v>
                </c:pt>
                <c:pt idx="19">
                  <c:v>20</c:v>
                </c:pt>
              </c:numCache>
            </c:numRef>
          </c:val>
          <c:extLst>
            <c:ext xmlns:c16="http://schemas.microsoft.com/office/drawing/2014/chart" uri="{C3380CC4-5D6E-409C-BE32-E72D297353CC}">
              <c16:uniqueId val="{00000028-2415-44B3-B8CA-F0650E5E6C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36368421052632"/>
          <c:y val="0.30633657407407405"/>
          <c:w val="0.25209415204678365"/>
          <c:h val="0.68130833333333329"/>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[Retail_dataset.xlsx]Pivot!PivotTable5</c:name>
    <c:fmtId val="15"/>
  </c:pivotSource>
  <c:chart>
    <c:autoTitleDeleted val="1"/>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906432748538"/>
          <c:y val="0.25870370370370371"/>
          <c:w val="0.57484970760233922"/>
          <c:h val="0.62253796296296293"/>
        </c:manualLayout>
      </c:layout>
      <c:lineChart>
        <c:grouping val="standard"/>
        <c:varyColors val="0"/>
        <c:ser>
          <c:idx val="0"/>
          <c:order val="0"/>
          <c:tx>
            <c:strRef>
              <c:f>Pivot!$B$73</c:f>
              <c:strCache>
                <c:ptCount val="1"/>
                <c:pt idx="0">
                  <c:v>Total</c:v>
                </c:pt>
              </c:strCache>
            </c:strRef>
          </c:tx>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Pivot!$A$74:$A$78</c:f>
              <c:strCache>
                <c:ptCount val="4"/>
                <c:pt idx="0">
                  <c:v>Cancelled</c:v>
                </c:pt>
                <c:pt idx="1">
                  <c:v>Delivered</c:v>
                </c:pt>
                <c:pt idx="2">
                  <c:v>Pending</c:v>
                </c:pt>
                <c:pt idx="3">
                  <c:v>Returned</c:v>
                </c:pt>
              </c:strCache>
            </c:strRef>
          </c:cat>
          <c:val>
            <c:numRef>
              <c:f>Pivot!$B$74:$B$78</c:f>
              <c:numCache>
                <c:formatCode>General</c:formatCode>
                <c:ptCount val="4"/>
                <c:pt idx="0">
                  <c:v>20</c:v>
                </c:pt>
                <c:pt idx="1">
                  <c:v>32</c:v>
                </c:pt>
                <c:pt idx="2">
                  <c:v>23</c:v>
                </c:pt>
                <c:pt idx="3">
                  <c:v>25</c:v>
                </c:pt>
              </c:numCache>
            </c:numRef>
          </c:val>
          <c:smooth val="0"/>
          <c:extLst>
            <c:ext xmlns:c16="http://schemas.microsoft.com/office/drawing/2014/chart" uri="{C3380CC4-5D6E-409C-BE32-E72D297353CC}">
              <c16:uniqueId val="{00000000-28F4-4329-A541-44E062AE267F}"/>
            </c:ext>
          </c:extLst>
        </c:ser>
        <c:dLbls>
          <c:dLblPos val="ctr"/>
          <c:showLegendKey val="0"/>
          <c:showVal val="1"/>
          <c:showCatName val="0"/>
          <c:showSerName val="0"/>
          <c:showPercent val="0"/>
          <c:showBubbleSize val="0"/>
        </c:dLbls>
        <c:marker val="1"/>
        <c:smooth val="0"/>
        <c:axId val="1035652208"/>
        <c:axId val="1035645008"/>
      </c:lineChart>
      <c:catAx>
        <c:axId val="1035652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35645008"/>
        <c:crosses val="autoZero"/>
        <c:auto val="1"/>
        <c:lblAlgn val="ctr"/>
        <c:lblOffset val="100"/>
        <c:noMultiLvlLbl val="0"/>
      </c:catAx>
      <c:valAx>
        <c:axId val="1035645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3565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[Retail_dataset.xlsx]Pivot!PivotTable7</c:name>
    <c:fmtId val="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4.4561403508771927E-2"/>
          <c:y val="7.0555555555555552E-2"/>
          <c:w val="0.80316286549707605"/>
          <c:h val="0.87064814814814817"/>
        </c:manualLayout>
      </c:layout>
      <c:ofPieChart>
        <c:ofPieType val="pie"/>
        <c:varyColors val="1"/>
        <c:ser>
          <c:idx val="0"/>
          <c:order val="0"/>
          <c:tx>
            <c:strRef>
              <c:f>Pivot!$B$91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663-4E53-B43C-A6070D28AF5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663-4E53-B43C-A6070D28AF5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663-4E53-B43C-A6070D28AF5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663-4E53-B43C-A6070D28AF5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663-4E53-B43C-A6070D28AF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Pivot!$A$92:$A$96</c:f>
              <c:strCache>
                <c:ptCount val="4"/>
                <c:pt idx="0">
                  <c:v>5</c:v>
                </c:pt>
                <c:pt idx="1">
                  <c:v>10</c:v>
                </c:pt>
                <c:pt idx="2">
                  <c:v>15</c:v>
                </c:pt>
                <c:pt idx="3">
                  <c:v>20</c:v>
                </c:pt>
              </c:strCache>
            </c:strRef>
          </c:cat>
          <c:val>
            <c:numRef>
              <c:f>Pivot!$B$92:$B$96</c:f>
              <c:numCache>
                <c:formatCode>General</c:formatCode>
                <c:ptCount val="4"/>
                <c:pt idx="0">
                  <c:v>142824.9</c:v>
                </c:pt>
                <c:pt idx="1">
                  <c:v>260843.4</c:v>
                </c:pt>
                <c:pt idx="2">
                  <c:v>395832.25</c:v>
                </c:pt>
                <c:pt idx="3">
                  <c:v>273568</c:v>
                </c:pt>
              </c:numCache>
            </c:numRef>
          </c:val>
          <c:extLst>
            <c:ext xmlns:c16="http://schemas.microsoft.com/office/drawing/2014/chart" uri="{C3380CC4-5D6E-409C-BE32-E72D297353CC}">
              <c16:uniqueId val="{0000000A-E663-4E53-B43C-A6070D28AF55}"/>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[Retail_dataset.xlsx]Pivot!PivotTable2</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05A7"/>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rgbClr val="00AA48"/>
          </a:solidFill>
          <a:ln>
            <a:noFill/>
          </a:ln>
          <a:effectLst/>
        </c:spPr>
      </c:pivotFmt>
      <c:pivotFmt>
        <c:idx val="9"/>
        <c:spPr>
          <a:solidFill>
            <a:srgbClr val="7030A0"/>
          </a:solidFill>
          <a:ln>
            <a:noFill/>
          </a:ln>
          <a:effectLst/>
        </c:spPr>
      </c:pivotFmt>
    </c:pivotFmts>
    <c:plotArea>
      <c:layout>
        <c:manualLayout>
          <c:layoutTarget val="inner"/>
          <c:xMode val="edge"/>
          <c:yMode val="edge"/>
          <c:x val="0.16038657815793306"/>
          <c:y val="0.24082675905179721"/>
          <c:w val="0.69472046783625729"/>
          <c:h val="0.64471811023622039"/>
        </c:manualLayout>
      </c:layout>
      <c:barChart>
        <c:barDir val="col"/>
        <c:grouping val="clustered"/>
        <c:varyColors val="0"/>
        <c:ser>
          <c:idx val="0"/>
          <c:order val="0"/>
          <c:tx>
            <c:strRef>
              <c:f>Pivot!$B$7</c:f>
              <c:strCache>
                <c:ptCount val="1"/>
                <c:pt idx="0">
                  <c:v>Total</c:v>
                </c:pt>
              </c:strCache>
            </c:strRef>
          </c:tx>
          <c:spPr>
            <a:solidFill>
              <a:schemeClr val="accent1"/>
            </a:solidFill>
            <a:ln>
              <a:noFill/>
            </a:ln>
            <a:effectLst/>
          </c:spPr>
          <c:invertIfNegative val="0"/>
          <c:dPt>
            <c:idx val="0"/>
            <c:invertIfNegative val="0"/>
            <c:bubble3D val="0"/>
            <c:spPr>
              <a:solidFill>
                <a:srgbClr val="1C05A7"/>
              </a:solidFill>
              <a:ln>
                <a:noFill/>
              </a:ln>
              <a:effectLst/>
            </c:spPr>
            <c:extLst>
              <c:ext xmlns:c16="http://schemas.microsoft.com/office/drawing/2014/chart" uri="{C3380CC4-5D6E-409C-BE32-E72D297353CC}">
                <c16:uniqueId val="{00000001-D5A6-4AB8-B663-4E056A7476D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F-D5A6-4AB8-B663-4E056A7476DE}"/>
              </c:ext>
            </c:extLst>
          </c:dPt>
          <c:dPt>
            <c:idx val="2"/>
            <c:invertIfNegative val="0"/>
            <c:bubble3D val="0"/>
            <c:spPr>
              <a:solidFill>
                <a:srgbClr val="00AA48"/>
              </a:solidFill>
              <a:ln>
                <a:noFill/>
              </a:ln>
              <a:effectLst/>
            </c:spPr>
            <c:extLst>
              <c:ext xmlns:c16="http://schemas.microsoft.com/office/drawing/2014/chart" uri="{C3380CC4-5D6E-409C-BE32-E72D297353CC}">
                <c16:uniqueId val="{00000010-D5A6-4AB8-B663-4E056A7476DE}"/>
              </c:ext>
            </c:extLst>
          </c:dPt>
          <c:dPt>
            <c:idx val="3"/>
            <c:invertIfNegative val="0"/>
            <c:bubble3D val="0"/>
            <c:spPr>
              <a:solidFill>
                <a:srgbClr val="7030A0"/>
              </a:solidFill>
              <a:ln>
                <a:noFill/>
              </a:ln>
              <a:effectLst/>
            </c:spPr>
            <c:extLst>
              <c:ext xmlns:c16="http://schemas.microsoft.com/office/drawing/2014/chart" uri="{C3380CC4-5D6E-409C-BE32-E72D297353CC}">
                <c16:uniqueId val="{00000011-D5A6-4AB8-B663-4E056A7476DE}"/>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Electronics</c:v>
                </c:pt>
                <c:pt idx="1">
                  <c:v>Fashion</c:v>
                </c:pt>
                <c:pt idx="2">
                  <c:v>Groceries</c:v>
                </c:pt>
                <c:pt idx="3">
                  <c:v>Home</c:v>
                </c:pt>
              </c:strCache>
            </c:strRef>
          </c:cat>
          <c:val>
            <c:numRef>
              <c:f>Pivot!$B$8:$B$12</c:f>
              <c:numCache>
                <c:formatCode>General</c:formatCode>
                <c:ptCount val="4"/>
                <c:pt idx="0">
                  <c:v>303814.90000000002</c:v>
                </c:pt>
                <c:pt idx="1">
                  <c:v>324980.84999999998</c:v>
                </c:pt>
                <c:pt idx="2">
                  <c:v>222708.55</c:v>
                </c:pt>
                <c:pt idx="3">
                  <c:v>221564.25</c:v>
                </c:pt>
              </c:numCache>
            </c:numRef>
          </c:val>
          <c:extLst>
            <c:ext xmlns:c16="http://schemas.microsoft.com/office/drawing/2014/chart" uri="{C3380CC4-5D6E-409C-BE32-E72D297353CC}">
              <c16:uniqueId val="{00000000-D5A6-4AB8-B663-4E056A7476DE}"/>
            </c:ext>
          </c:extLst>
        </c:ser>
        <c:dLbls>
          <c:dLblPos val="outEnd"/>
          <c:showLegendKey val="0"/>
          <c:showVal val="1"/>
          <c:showCatName val="0"/>
          <c:showSerName val="0"/>
          <c:showPercent val="0"/>
          <c:showBubbleSize val="0"/>
        </c:dLbls>
        <c:gapWidth val="219"/>
        <c:overlap val="-27"/>
        <c:axId val="1135680048"/>
        <c:axId val="1135673328"/>
      </c:barChart>
      <c:catAx>
        <c:axId val="113568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35673328"/>
        <c:crosses val="autoZero"/>
        <c:auto val="1"/>
        <c:lblAlgn val="ctr"/>
        <c:lblOffset val="100"/>
        <c:noMultiLvlLbl val="0"/>
      </c:catAx>
      <c:valAx>
        <c:axId val="113567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3568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image" Target="../media/image21.png"/><Relationship Id="rId3" Type="http://schemas.openxmlformats.org/officeDocument/2006/relationships/chart" Target="../charts/chart9.xml"/><Relationship Id="rId21" Type="http://schemas.openxmlformats.org/officeDocument/2006/relationships/image" Target="../media/image16.png"/><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5" Type="http://schemas.openxmlformats.org/officeDocument/2006/relationships/image" Target="../media/image20.svg"/><Relationship Id="rId2" Type="http://schemas.openxmlformats.org/officeDocument/2006/relationships/chart" Target="../charts/chart8.xml"/><Relationship Id="rId16" Type="http://schemas.openxmlformats.org/officeDocument/2006/relationships/image" Target="../media/image11.svg"/><Relationship Id="rId20" Type="http://schemas.openxmlformats.org/officeDocument/2006/relationships/image" Target="../media/image15.svg"/><Relationship Id="rId29" Type="http://schemas.openxmlformats.org/officeDocument/2006/relationships/image" Target="../media/image24.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6.png"/><Relationship Id="rId24" Type="http://schemas.openxmlformats.org/officeDocument/2006/relationships/image" Target="../media/image19.svg"/><Relationship Id="rId5" Type="http://schemas.openxmlformats.org/officeDocument/2006/relationships/chart" Target="../charts/chart11.xml"/><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image" Target="../media/image23.png"/><Relationship Id="rId10" Type="http://schemas.openxmlformats.org/officeDocument/2006/relationships/image" Target="../media/image5.svg"/><Relationship Id="rId19" Type="http://schemas.openxmlformats.org/officeDocument/2006/relationships/image" Target="../media/image14.png"/><Relationship Id="rId31" Type="http://schemas.openxmlformats.org/officeDocument/2006/relationships/image" Target="../media/image26.sv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image" Target="../media/image22.svg"/><Relationship Id="rId30" Type="http://schemas.openxmlformats.org/officeDocument/2006/relationships/image" Target="../media/image25.svg"/></Relationships>
</file>

<file path=xl/drawings/_rels/drawing10.xml.rels><?xml version="1.0" encoding="UTF-8" standalone="yes"?>
<Relationships xmlns="http://schemas.openxmlformats.org/package/2006/relationships"><Relationship Id="rId26" Type="http://schemas.openxmlformats.org/officeDocument/2006/relationships/image" Target="../media/image52.svg"/><Relationship Id="rId21" Type="http://schemas.openxmlformats.org/officeDocument/2006/relationships/image" Target="../media/image47.png"/><Relationship Id="rId34" Type="http://schemas.openxmlformats.org/officeDocument/2006/relationships/image" Target="../media/image60.svg"/><Relationship Id="rId42" Type="http://schemas.openxmlformats.org/officeDocument/2006/relationships/image" Target="../media/image68.svg"/><Relationship Id="rId47" Type="http://schemas.openxmlformats.org/officeDocument/2006/relationships/image" Target="../media/image73.png"/><Relationship Id="rId50" Type="http://schemas.openxmlformats.org/officeDocument/2006/relationships/image" Target="../media/image76.svg"/><Relationship Id="rId55" Type="http://schemas.openxmlformats.org/officeDocument/2006/relationships/image" Target="../media/image81.png"/><Relationship Id="rId63" Type="http://schemas.openxmlformats.org/officeDocument/2006/relationships/image" Target="../media/image89.png"/><Relationship Id="rId68" Type="http://schemas.openxmlformats.org/officeDocument/2006/relationships/image" Target="../media/image94.svg"/><Relationship Id="rId7" Type="http://schemas.openxmlformats.org/officeDocument/2006/relationships/image" Target="../media/image33.png"/><Relationship Id="rId2" Type="http://schemas.openxmlformats.org/officeDocument/2006/relationships/image" Target="../media/image28.svg"/><Relationship Id="rId16" Type="http://schemas.openxmlformats.org/officeDocument/2006/relationships/image" Target="../media/image42.svg"/><Relationship Id="rId29" Type="http://schemas.openxmlformats.org/officeDocument/2006/relationships/image" Target="../media/image55.png"/><Relationship Id="rId11" Type="http://schemas.openxmlformats.org/officeDocument/2006/relationships/image" Target="../media/image37.png"/><Relationship Id="rId24" Type="http://schemas.openxmlformats.org/officeDocument/2006/relationships/image" Target="../media/image50.svg"/><Relationship Id="rId32" Type="http://schemas.openxmlformats.org/officeDocument/2006/relationships/image" Target="../media/image58.svg"/><Relationship Id="rId37" Type="http://schemas.openxmlformats.org/officeDocument/2006/relationships/image" Target="../media/image63.png"/><Relationship Id="rId40" Type="http://schemas.openxmlformats.org/officeDocument/2006/relationships/image" Target="../media/image66.svg"/><Relationship Id="rId45" Type="http://schemas.openxmlformats.org/officeDocument/2006/relationships/image" Target="../media/image71.png"/><Relationship Id="rId53" Type="http://schemas.openxmlformats.org/officeDocument/2006/relationships/image" Target="../media/image79.png"/><Relationship Id="rId58" Type="http://schemas.openxmlformats.org/officeDocument/2006/relationships/image" Target="../media/image84.svg"/><Relationship Id="rId66" Type="http://schemas.openxmlformats.org/officeDocument/2006/relationships/image" Target="../media/image92.svg"/><Relationship Id="rId5" Type="http://schemas.openxmlformats.org/officeDocument/2006/relationships/image" Target="../media/image31.png"/><Relationship Id="rId61" Type="http://schemas.openxmlformats.org/officeDocument/2006/relationships/image" Target="../media/image87.png"/><Relationship Id="rId19" Type="http://schemas.openxmlformats.org/officeDocument/2006/relationships/image" Target="../media/image45.png"/><Relationship Id="rId14" Type="http://schemas.openxmlformats.org/officeDocument/2006/relationships/image" Target="../media/image40.svg"/><Relationship Id="rId22" Type="http://schemas.openxmlformats.org/officeDocument/2006/relationships/image" Target="../media/image48.svg"/><Relationship Id="rId27" Type="http://schemas.openxmlformats.org/officeDocument/2006/relationships/image" Target="../media/image53.png"/><Relationship Id="rId30" Type="http://schemas.openxmlformats.org/officeDocument/2006/relationships/image" Target="../media/image56.svg"/><Relationship Id="rId35" Type="http://schemas.openxmlformats.org/officeDocument/2006/relationships/image" Target="../media/image61.png"/><Relationship Id="rId43" Type="http://schemas.openxmlformats.org/officeDocument/2006/relationships/image" Target="../media/image69.png"/><Relationship Id="rId48" Type="http://schemas.openxmlformats.org/officeDocument/2006/relationships/image" Target="../media/image74.svg"/><Relationship Id="rId56" Type="http://schemas.openxmlformats.org/officeDocument/2006/relationships/image" Target="../media/image82.svg"/><Relationship Id="rId64" Type="http://schemas.openxmlformats.org/officeDocument/2006/relationships/image" Target="../media/image90.svg"/><Relationship Id="rId8" Type="http://schemas.openxmlformats.org/officeDocument/2006/relationships/image" Target="../media/image34.svg"/><Relationship Id="rId51" Type="http://schemas.openxmlformats.org/officeDocument/2006/relationships/image" Target="../media/image77.png"/><Relationship Id="rId3" Type="http://schemas.openxmlformats.org/officeDocument/2006/relationships/image" Target="../media/image29.png"/><Relationship Id="rId12" Type="http://schemas.openxmlformats.org/officeDocument/2006/relationships/image" Target="../media/image38.svg"/><Relationship Id="rId17" Type="http://schemas.openxmlformats.org/officeDocument/2006/relationships/image" Target="../media/image43.png"/><Relationship Id="rId25" Type="http://schemas.openxmlformats.org/officeDocument/2006/relationships/image" Target="../media/image51.png"/><Relationship Id="rId33" Type="http://schemas.openxmlformats.org/officeDocument/2006/relationships/image" Target="../media/image59.png"/><Relationship Id="rId38" Type="http://schemas.openxmlformats.org/officeDocument/2006/relationships/image" Target="../media/image64.svg"/><Relationship Id="rId46" Type="http://schemas.openxmlformats.org/officeDocument/2006/relationships/image" Target="../media/image72.svg"/><Relationship Id="rId59" Type="http://schemas.openxmlformats.org/officeDocument/2006/relationships/image" Target="../media/image85.png"/><Relationship Id="rId67" Type="http://schemas.openxmlformats.org/officeDocument/2006/relationships/image" Target="../media/image93.png"/><Relationship Id="rId20" Type="http://schemas.openxmlformats.org/officeDocument/2006/relationships/image" Target="../media/image46.svg"/><Relationship Id="rId41" Type="http://schemas.openxmlformats.org/officeDocument/2006/relationships/image" Target="../media/image67.png"/><Relationship Id="rId54" Type="http://schemas.openxmlformats.org/officeDocument/2006/relationships/image" Target="../media/image80.svg"/><Relationship Id="rId62" Type="http://schemas.openxmlformats.org/officeDocument/2006/relationships/image" Target="../media/image88.svg"/><Relationship Id="rId1" Type="http://schemas.openxmlformats.org/officeDocument/2006/relationships/image" Target="../media/image27.png"/><Relationship Id="rId6" Type="http://schemas.openxmlformats.org/officeDocument/2006/relationships/image" Target="../media/image32.svg"/><Relationship Id="rId15" Type="http://schemas.openxmlformats.org/officeDocument/2006/relationships/image" Target="../media/image41.png"/><Relationship Id="rId23" Type="http://schemas.openxmlformats.org/officeDocument/2006/relationships/image" Target="../media/image49.png"/><Relationship Id="rId28" Type="http://schemas.openxmlformats.org/officeDocument/2006/relationships/image" Target="../media/image54.svg"/><Relationship Id="rId36" Type="http://schemas.openxmlformats.org/officeDocument/2006/relationships/image" Target="../media/image62.svg"/><Relationship Id="rId49" Type="http://schemas.openxmlformats.org/officeDocument/2006/relationships/image" Target="../media/image75.png"/><Relationship Id="rId57" Type="http://schemas.openxmlformats.org/officeDocument/2006/relationships/image" Target="../media/image83.png"/><Relationship Id="rId10" Type="http://schemas.openxmlformats.org/officeDocument/2006/relationships/image" Target="../media/image36.svg"/><Relationship Id="rId31" Type="http://schemas.openxmlformats.org/officeDocument/2006/relationships/image" Target="../media/image57.png"/><Relationship Id="rId44" Type="http://schemas.openxmlformats.org/officeDocument/2006/relationships/image" Target="../media/image70.svg"/><Relationship Id="rId52" Type="http://schemas.openxmlformats.org/officeDocument/2006/relationships/image" Target="../media/image78.svg"/><Relationship Id="rId60" Type="http://schemas.openxmlformats.org/officeDocument/2006/relationships/image" Target="../media/image86.svg"/><Relationship Id="rId65" Type="http://schemas.openxmlformats.org/officeDocument/2006/relationships/image" Target="../media/image91.png"/><Relationship Id="rId4" Type="http://schemas.openxmlformats.org/officeDocument/2006/relationships/image" Target="../media/image30.svg"/><Relationship Id="rId9" Type="http://schemas.openxmlformats.org/officeDocument/2006/relationships/image" Target="../media/image35.png"/><Relationship Id="rId13" Type="http://schemas.openxmlformats.org/officeDocument/2006/relationships/image" Target="../media/image39.png"/><Relationship Id="rId18" Type="http://schemas.openxmlformats.org/officeDocument/2006/relationships/image" Target="../media/image44.svg"/><Relationship Id="rId39"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xdr:from>
      <xdr:col>2</xdr:col>
      <xdr:colOff>579120</xdr:colOff>
      <xdr:row>18</xdr:row>
      <xdr:rowOff>34290</xdr:rowOff>
    </xdr:from>
    <xdr:to>
      <xdr:col>9</xdr:col>
      <xdr:colOff>213360</xdr:colOff>
      <xdr:row>33</xdr:row>
      <xdr:rowOff>34290</xdr:rowOff>
    </xdr:to>
    <xdr:graphicFrame macro="">
      <xdr:nvGraphicFramePr>
        <xdr:cNvPr id="3" name="Chart 2">
          <a:extLst>
            <a:ext uri="{FF2B5EF4-FFF2-40B4-BE49-F238E27FC236}">
              <a16:creationId xmlns:a16="http://schemas.microsoft.com/office/drawing/2014/main" id="{325470CF-88A9-268D-C244-D78D12488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33</xdr:row>
      <xdr:rowOff>163830</xdr:rowOff>
    </xdr:from>
    <xdr:to>
      <xdr:col>9</xdr:col>
      <xdr:colOff>274320</xdr:colOff>
      <xdr:row>46</xdr:row>
      <xdr:rowOff>114300</xdr:rowOff>
    </xdr:to>
    <xdr:graphicFrame macro="">
      <xdr:nvGraphicFramePr>
        <xdr:cNvPr id="4" name="Chart 3">
          <a:extLst>
            <a:ext uri="{FF2B5EF4-FFF2-40B4-BE49-F238E27FC236}">
              <a16:creationId xmlns:a16="http://schemas.microsoft.com/office/drawing/2014/main" id="{692DA415-C1EB-E4A0-A91B-012DAF385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693420</xdr:colOff>
      <xdr:row>50</xdr:row>
      <xdr:rowOff>26670</xdr:rowOff>
    </xdr:from>
    <xdr:to>
      <xdr:col>9</xdr:col>
      <xdr:colOff>327660</xdr:colOff>
      <xdr:row>65</xdr:row>
      <xdr:rowOff>26670</xdr:rowOff>
    </xdr:to>
    <xdr:graphicFrame macro="">
      <xdr:nvGraphicFramePr>
        <xdr:cNvPr id="5" name="Chart 4">
          <a:extLst>
            <a:ext uri="{FF2B5EF4-FFF2-40B4-BE49-F238E27FC236}">
              <a16:creationId xmlns:a16="http://schemas.microsoft.com/office/drawing/2014/main" id="{51918BB9-88E0-3D16-7B1F-9C1C2AE34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754380</xdr:colOff>
      <xdr:row>69</xdr:row>
      <xdr:rowOff>3810</xdr:rowOff>
    </xdr:from>
    <xdr:to>
      <xdr:col>9</xdr:col>
      <xdr:colOff>388620</xdr:colOff>
      <xdr:row>84</xdr:row>
      <xdr:rowOff>3810</xdr:rowOff>
    </xdr:to>
    <xdr:graphicFrame macro="">
      <xdr:nvGraphicFramePr>
        <xdr:cNvPr id="6" name="Chart 5">
          <a:extLst>
            <a:ext uri="{FF2B5EF4-FFF2-40B4-BE49-F238E27FC236}">
              <a16:creationId xmlns:a16="http://schemas.microsoft.com/office/drawing/2014/main" id="{296018EC-5F4D-CE00-642A-43D276350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830580</xdr:colOff>
      <xdr:row>85</xdr:row>
      <xdr:rowOff>179070</xdr:rowOff>
    </xdr:from>
    <xdr:to>
      <xdr:col>9</xdr:col>
      <xdr:colOff>464820</xdr:colOff>
      <xdr:row>100</xdr:row>
      <xdr:rowOff>179070</xdr:rowOff>
    </xdr:to>
    <xdr:graphicFrame macro="">
      <xdr:nvGraphicFramePr>
        <xdr:cNvPr id="7" name="Chart 6">
          <a:extLst>
            <a:ext uri="{FF2B5EF4-FFF2-40B4-BE49-F238E27FC236}">
              <a16:creationId xmlns:a16="http://schemas.microsoft.com/office/drawing/2014/main" id="{82D8A98C-709C-6BE6-5113-A24E90689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4</xdr:row>
      <xdr:rowOff>114300</xdr:rowOff>
    </xdr:from>
    <xdr:to>
      <xdr:col>9</xdr:col>
      <xdr:colOff>167640</xdr:colOff>
      <xdr:row>16</xdr:row>
      <xdr:rowOff>152400</xdr:rowOff>
    </xdr:to>
    <xdr:graphicFrame macro="">
      <xdr:nvGraphicFramePr>
        <xdr:cNvPr id="2" name="Chart 1">
          <a:extLst>
            <a:ext uri="{FF2B5EF4-FFF2-40B4-BE49-F238E27FC236}">
              <a16:creationId xmlns:a16="http://schemas.microsoft.com/office/drawing/2014/main" id="{7730E02E-7B12-436B-824C-1B255A58E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0.12444</cdr:y>
    </cdr:to>
    <cdr:sp macro="" textlink="">
      <cdr:nvSpPr>
        <cdr:cNvPr id="5" name="Rectangle: Rounded Corners 4">
          <a:extLst xmlns:a="http://schemas.openxmlformats.org/drawingml/2006/main">
            <a:ext uri="{FF2B5EF4-FFF2-40B4-BE49-F238E27FC236}">
              <a16:creationId xmlns:a16="http://schemas.microsoft.com/office/drawing/2014/main" id="{1A12E13C-CB71-4E5A-63F2-DC631FC3581C}"/>
            </a:ext>
          </a:extLst>
        </cdr:cNvPr>
        <cdr:cNvSpPr/>
      </cdr:nvSpPr>
      <cdr:spPr>
        <a:xfrm xmlns:a="http://schemas.openxmlformats.org/drawingml/2006/main">
          <a:off x="0" y="0"/>
          <a:ext cx="3427544" cy="266087"/>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AE" sz="1400" b="1">
              <a:solidFill>
                <a:schemeClr val="lt1"/>
              </a:solidFill>
              <a:effectLst/>
              <a:latin typeface="+mn-lt"/>
              <a:ea typeface="+mn-ea"/>
              <a:cs typeface="+mn-cs"/>
            </a:rPr>
            <a:t>Sales</a:t>
          </a:r>
          <a:r>
            <a:rPr lang="en-AE" sz="1400" b="1" baseline="0">
              <a:solidFill>
                <a:schemeClr val="lt1"/>
              </a:solidFill>
              <a:effectLst/>
              <a:latin typeface="+mn-lt"/>
              <a:ea typeface="+mn-ea"/>
              <a:cs typeface="+mn-cs"/>
            </a:rPr>
            <a:t> By Category</a:t>
          </a:r>
          <a:endParaRPr lang="en-AE" sz="1400">
            <a:effectLst/>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10</xdr:col>
      <xdr:colOff>60960</xdr:colOff>
      <xdr:row>7</xdr:row>
      <xdr:rowOff>165652</xdr:rowOff>
    </xdr:from>
    <xdr:to>
      <xdr:col>15</xdr:col>
      <xdr:colOff>432960</xdr:colOff>
      <xdr:row>19</xdr:row>
      <xdr:rowOff>131092</xdr:rowOff>
    </xdr:to>
    <xdr:graphicFrame macro="">
      <xdr:nvGraphicFramePr>
        <xdr:cNvPr id="3" name="Chart 2">
          <a:extLst>
            <a:ext uri="{FF2B5EF4-FFF2-40B4-BE49-F238E27FC236}">
              <a16:creationId xmlns:a16="http://schemas.microsoft.com/office/drawing/2014/main" id="{F84BD289-BB62-4A96-99FB-B71F6277F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8</xdr:row>
      <xdr:rowOff>0</xdr:rowOff>
    </xdr:from>
    <xdr:to>
      <xdr:col>21</xdr:col>
      <xdr:colOff>493920</xdr:colOff>
      <xdr:row>19</xdr:row>
      <xdr:rowOff>145356</xdr:rowOff>
    </xdr:to>
    <xdr:graphicFrame macro="">
      <xdr:nvGraphicFramePr>
        <xdr:cNvPr id="4" name="Chart 3">
          <a:extLst>
            <a:ext uri="{FF2B5EF4-FFF2-40B4-BE49-F238E27FC236}">
              <a16:creationId xmlns:a16="http://schemas.microsoft.com/office/drawing/2014/main" id="{0C14E6D2-8E50-41EA-9B57-524ED5CD3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135780</xdr:colOff>
      <xdr:row>20</xdr:row>
      <xdr:rowOff>160020</xdr:rowOff>
    </xdr:from>
    <xdr:to>
      <xdr:col>15</xdr:col>
      <xdr:colOff>507780</xdr:colOff>
      <xdr:row>32</xdr:row>
      <xdr:rowOff>125460</xdr:rowOff>
    </xdr:to>
    <xdr:graphicFrame macro="">
      <xdr:nvGraphicFramePr>
        <xdr:cNvPr id="5" name="Chart 4">
          <a:extLst>
            <a:ext uri="{FF2B5EF4-FFF2-40B4-BE49-F238E27FC236}">
              <a16:creationId xmlns:a16="http://schemas.microsoft.com/office/drawing/2014/main" id="{CA67977A-8734-47B2-96E9-3EB1261F3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167640</xdr:colOff>
      <xdr:row>20</xdr:row>
      <xdr:rowOff>156480</xdr:rowOff>
    </xdr:from>
    <xdr:to>
      <xdr:col>9</xdr:col>
      <xdr:colOff>539640</xdr:colOff>
      <xdr:row>32</xdr:row>
      <xdr:rowOff>121920</xdr:rowOff>
    </xdr:to>
    <xdr:graphicFrame macro="">
      <xdr:nvGraphicFramePr>
        <xdr:cNvPr id="6" name="Chart 5">
          <a:extLst>
            <a:ext uri="{FF2B5EF4-FFF2-40B4-BE49-F238E27FC236}">
              <a16:creationId xmlns:a16="http://schemas.microsoft.com/office/drawing/2014/main" id="{190A0CAB-785E-4197-A863-B818EC614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592980</xdr:colOff>
      <xdr:row>20</xdr:row>
      <xdr:rowOff>156480</xdr:rowOff>
    </xdr:from>
    <xdr:to>
      <xdr:col>21</xdr:col>
      <xdr:colOff>477300</xdr:colOff>
      <xdr:row>32</xdr:row>
      <xdr:rowOff>121920</xdr:rowOff>
    </xdr:to>
    <xdr:graphicFrame macro="">
      <xdr:nvGraphicFramePr>
        <xdr:cNvPr id="7" name="Chart 6">
          <a:extLst>
            <a:ext uri="{FF2B5EF4-FFF2-40B4-BE49-F238E27FC236}">
              <a16:creationId xmlns:a16="http://schemas.microsoft.com/office/drawing/2014/main" id="{3CEEDC7D-03D2-4291-B2DC-838D8066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412751</xdr:colOff>
      <xdr:row>1</xdr:row>
      <xdr:rowOff>137582</xdr:rowOff>
    </xdr:from>
    <xdr:to>
      <xdr:col>8</xdr:col>
      <xdr:colOff>399878</xdr:colOff>
      <xdr:row>7</xdr:row>
      <xdr:rowOff>55147</xdr:rowOff>
    </xdr:to>
    <xdr:sp macro="" textlink="">
      <xdr:nvSpPr>
        <xdr:cNvPr id="10" name="Rectangle: Rounded Corners 9">
          <a:extLst>
            <a:ext uri="{FF2B5EF4-FFF2-40B4-BE49-F238E27FC236}">
              <a16:creationId xmlns:a16="http://schemas.microsoft.com/office/drawing/2014/main" id="{7FBEA227-944B-C535-9535-E4FBD8A61294}"/>
            </a:ext>
          </a:extLst>
        </xdr:cNvPr>
        <xdr:cNvSpPr/>
      </xdr:nvSpPr>
      <xdr:spPr>
        <a:xfrm>
          <a:off x="2868084" y="603249"/>
          <a:ext cx="2442461" cy="997065"/>
        </a:xfrm>
        <a:prstGeom prst="round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AE" sz="2000" b="1"/>
            <a:t>TOTAL</a:t>
          </a:r>
          <a:r>
            <a:rPr lang="en-AE" sz="2000" baseline="0"/>
            <a:t> </a:t>
          </a:r>
          <a:r>
            <a:rPr lang="en-AE" sz="2000" b="1" baseline="0"/>
            <a:t>SALES</a:t>
          </a:r>
        </a:p>
        <a:p>
          <a:pPr algn="ctr"/>
          <a:r>
            <a:rPr lang="en-AE" sz="2000" b="1" i="0" u="none" strike="noStrike">
              <a:solidFill>
                <a:schemeClr val="lt1"/>
              </a:solidFill>
              <a:effectLst/>
              <a:latin typeface="+mn-lt"/>
              <a:ea typeface="+mn-ea"/>
              <a:cs typeface="+mn-cs"/>
            </a:rPr>
            <a:t>1073068.6</a:t>
          </a:r>
          <a:r>
            <a:rPr lang="en-AE" sz="2000"/>
            <a:t> </a:t>
          </a:r>
        </a:p>
        <a:p>
          <a:pPr algn="ctr"/>
          <a:r>
            <a:rPr lang="en-AE" sz="900" baseline="0"/>
            <a:t>Sum of Sales</a:t>
          </a:r>
        </a:p>
        <a:p>
          <a:pPr algn="ctr"/>
          <a:endParaRPr lang="en-AE" sz="2000"/>
        </a:p>
      </xdr:txBody>
    </xdr:sp>
    <xdr:clientData/>
  </xdr:twoCellAnchor>
  <xdr:twoCellAnchor>
    <xdr:from>
      <xdr:col>8</xdr:col>
      <xdr:colOff>506326</xdr:colOff>
      <xdr:row>1</xdr:row>
      <xdr:rowOff>127731</xdr:rowOff>
    </xdr:from>
    <xdr:to>
      <xdr:col>12</xdr:col>
      <xdr:colOff>524761</xdr:colOff>
      <xdr:row>7</xdr:row>
      <xdr:rowOff>45296</xdr:rowOff>
    </xdr:to>
    <xdr:sp macro="" textlink="">
      <xdr:nvSpPr>
        <xdr:cNvPr id="11" name="Rectangle: Rounded Corners 10">
          <a:extLst>
            <a:ext uri="{FF2B5EF4-FFF2-40B4-BE49-F238E27FC236}">
              <a16:creationId xmlns:a16="http://schemas.microsoft.com/office/drawing/2014/main" id="{4A911397-C8B7-F711-70C6-C533C95D787F}"/>
            </a:ext>
          </a:extLst>
        </xdr:cNvPr>
        <xdr:cNvSpPr/>
      </xdr:nvSpPr>
      <xdr:spPr>
        <a:xfrm>
          <a:off x="5416993" y="593398"/>
          <a:ext cx="2473768" cy="99706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000" b="1"/>
            <a:t>TOTAL PROFIT</a:t>
          </a:r>
        </a:p>
        <a:p>
          <a:pPr algn="ctr"/>
          <a:r>
            <a:rPr lang="en-AE" sz="2000" b="1" i="0" u="none" strike="noStrike">
              <a:solidFill>
                <a:schemeClr val="lt1"/>
              </a:solidFill>
              <a:effectLst/>
              <a:latin typeface="+mn-lt"/>
              <a:ea typeface="+mn-ea"/>
              <a:cs typeface="+mn-cs"/>
            </a:rPr>
            <a:t>214613.71</a:t>
          </a:r>
        </a:p>
        <a:p>
          <a:pPr marL="0" marR="0" lvl="0" indent="0" algn="ctr" defTabSz="914400" eaLnBrk="1" fontAlgn="auto" latinLnBrk="0" hangingPunct="1">
            <a:lnSpc>
              <a:spcPct val="100000"/>
            </a:lnSpc>
            <a:spcBef>
              <a:spcPts val="0"/>
            </a:spcBef>
            <a:spcAft>
              <a:spcPts val="0"/>
            </a:spcAft>
            <a:buClrTx/>
            <a:buSzTx/>
            <a:buFontTx/>
            <a:buNone/>
            <a:tabLst/>
            <a:defRPr/>
          </a:pPr>
          <a:r>
            <a:rPr lang="en-AE" sz="1100" baseline="0">
              <a:solidFill>
                <a:schemeClr val="lt1"/>
              </a:solidFill>
              <a:effectLst/>
              <a:latin typeface="+mn-lt"/>
              <a:ea typeface="+mn-ea"/>
              <a:cs typeface="+mn-cs"/>
            </a:rPr>
            <a:t>Sum of Profit</a:t>
          </a:r>
          <a:endParaRPr lang="en-AE" sz="2000">
            <a:effectLst/>
          </a:endParaRPr>
        </a:p>
        <a:p>
          <a:pPr algn="ctr"/>
          <a:r>
            <a:rPr lang="en-AE" sz="2000" b="1"/>
            <a:t> </a:t>
          </a:r>
        </a:p>
      </xdr:txBody>
    </xdr:sp>
    <xdr:clientData/>
  </xdr:twoCellAnchor>
  <xdr:twoCellAnchor>
    <xdr:from>
      <xdr:col>13</xdr:col>
      <xdr:colOff>0</xdr:colOff>
      <xdr:row>1</xdr:row>
      <xdr:rowOff>93018</xdr:rowOff>
    </xdr:from>
    <xdr:to>
      <xdr:col>17</xdr:col>
      <xdr:colOff>18433</xdr:colOff>
      <xdr:row>7</xdr:row>
      <xdr:rowOff>10583</xdr:rowOff>
    </xdr:to>
    <xdr:sp macro="" textlink="">
      <xdr:nvSpPr>
        <xdr:cNvPr id="12" name="Rectangle: Rounded Corners 11">
          <a:extLst>
            <a:ext uri="{FF2B5EF4-FFF2-40B4-BE49-F238E27FC236}">
              <a16:creationId xmlns:a16="http://schemas.microsoft.com/office/drawing/2014/main" id="{0EC69222-EC0E-18F1-EF9B-48BD3A3A7FB4}"/>
            </a:ext>
          </a:extLst>
        </xdr:cNvPr>
        <xdr:cNvSpPr/>
      </xdr:nvSpPr>
      <xdr:spPr>
        <a:xfrm>
          <a:off x="7979833" y="558685"/>
          <a:ext cx="2473767" cy="997065"/>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000" b="1"/>
            <a:t>TOTAL  ORDERS</a:t>
          </a:r>
        </a:p>
        <a:p>
          <a:pPr algn="ctr"/>
          <a:r>
            <a:rPr lang="en-AE" sz="2000" b="1"/>
            <a:t>100</a:t>
          </a:r>
        </a:p>
        <a:p>
          <a:pPr marL="0" marR="0" lvl="0" indent="0" algn="ctr" defTabSz="914400" eaLnBrk="1" fontAlgn="auto" latinLnBrk="0" hangingPunct="1">
            <a:lnSpc>
              <a:spcPct val="100000"/>
            </a:lnSpc>
            <a:spcBef>
              <a:spcPts val="0"/>
            </a:spcBef>
            <a:spcAft>
              <a:spcPts val="0"/>
            </a:spcAft>
            <a:buClrTx/>
            <a:buSzTx/>
            <a:buFontTx/>
            <a:buNone/>
            <a:tabLst/>
            <a:defRPr/>
          </a:pPr>
          <a:r>
            <a:rPr lang="en-AE" sz="1100" baseline="0">
              <a:solidFill>
                <a:schemeClr val="lt1"/>
              </a:solidFill>
              <a:effectLst/>
              <a:latin typeface="+mn-lt"/>
              <a:ea typeface="+mn-ea"/>
              <a:cs typeface="+mn-cs"/>
            </a:rPr>
            <a:t>Count of Order_ID</a:t>
          </a:r>
          <a:endParaRPr lang="en-AE" sz="2000">
            <a:effectLst/>
          </a:endParaRPr>
        </a:p>
        <a:p>
          <a:pPr algn="ctr"/>
          <a:r>
            <a:rPr lang="en-AE" sz="2000" b="1"/>
            <a:t>z</a:t>
          </a:r>
        </a:p>
      </xdr:txBody>
    </xdr:sp>
    <xdr:clientData/>
  </xdr:twoCellAnchor>
  <xdr:twoCellAnchor>
    <xdr:from>
      <xdr:col>17</xdr:col>
      <xdr:colOff>74083</xdr:colOff>
      <xdr:row>1</xdr:row>
      <xdr:rowOff>116416</xdr:rowOff>
    </xdr:from>
    <xdr:to>
      <xdr:col>21</xdr:col>
      <xdr:colOff>219519</xdr:colOff>
      <xdr:row>7</xdr:row>
      <xdr:rowOff>33981</xdr:rowOff>
    </xdr:to>
    <xdr:sp macro="" textlink="">
      <xdr:nvSpPr>
        <xdr:cNvPr id="13" name="Rectangle: Rounded Corners 12">
          <a:extLst>
            <a:ext uri="{FF2B5EF4-FFF2-40B4-BE49-F238E27FC236}">
              <a16:creationId xmlns:a16="http://schemas.microsoft.com/office/drawing/2014/main" id="{D2120FC3-0968-695E-2DDB-BA58B338E222}"/>
            </a:ext>
          </a:extLst>
        </xdr:cNvPr>
        <xdr:cNvSpPr/>
      </xdr:nvSpPr>
      <xdr:spPr>
        <a:xfrm>
          <a:off x="10509250" y="582083"/>
          <a:ext cx="2473769" cy="997065"/>
        </a:xfrm>
        <a:prstGeom prst="roundRect">
          <a:avLst/>
        </a:prstGeom>
        <a:solidFill>
          <a:srgbClr val="A66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000" b="1"/>
            <a:t>TOTAL QUANTITY</a:t>
          </a:r>
        </a:p>
        <a:p>
          <a:pPr algn="ctr"/>
          <a:r>
            <a:rPr lang="en-AE" sz="2000" b="1"/>
            <a:t>480</a:t>
          </a:r>
        </a:p>
        <a:p>
          <a:pPr marL="0" marR="0" lvl="0" indent="0" algn="ctr" defTabSz="914400" eaLnBrk="1" fontAlgn="auto" latinLnBrk="0" hangingPunct="1">
            <a:lnSpc>
              <a:spcPct val="100000"/>
            </a:lnSpc>
            <a:spcBef>
              <a:spcPts val="0"/>
            </a:spcBef>
            <a:spcAft>
              <a:spcPts val="0"/>
            </a:spcAft>
            <a:buClrTx/>
            <a:buSzTx/>
            <a:buFontTx/>
            <a:buNone/>
            <a:tabLst/>
            <a:defRPr/>
          </a:pPr>
          <a:r>
            <a:rPr lang="en-AE" sz="1100" baseline="0">
              <a:solidFill>
                <a:schemeClr val="lt1"/>
              </a:solidFill>
              <a:effectLst/>
              <a:latin typeface="+mn-lt"/>
              <a:ea typeface="+mn-ea"/>
              <a:cs typeface="+mn-cs"/>
            </a:rPr>
            <a:t>Sum of Quantity</a:t>
          </a:r>
          <a:endParaRPr lang="en-AE" sz="2000">
            <a:effectLst/>
          </a:endParaRPr>
        </a:p>
        <a:p>
          <a:pPr algn="ctr"/>
          <a:endParaRPr lang="en-AE" sz="2000" b="1"/>
        </a:p>
      </xdr:txBody>
    </xdr:sp>
    <xdr:clientData/>
  </xdr:twoCellAnchor>
  <xdr:twoCellAnchor>
    <xdr:from>
      <xdr:col>4</xdr:col>
      <xdr:colOff>125238</xdr:colOff>
      <xdr:row>7</xdr:row>
      <xdr:rowOff>93637</xdr:rowOff>
    </xdr:from>
    <xdr:to>
      <xdr:col>9</xdr:col>
      <xdr:colOff>497238</xdr:colOff>
      <xdr:row>19</xdr:row>
      <xdr:rowOff>59077</xdr:rowOff>
    </xdr:to>
    <xdr:graphicFrame macro="">
      <xdr:nvGraphicFramePr>
        <xdr:cNvPr id="8" name="Chart 7">
          <a:extLst>
            <a:ext uri="{FF2B5EF4-FFF2-40B4-BE49-F238E27FC236}">
              <a16:creationId xmlns:a16="http://schemas.microsoft.com/office/drawing/2014/main" id="{8D06B2CE-A41F-4B3B-91DC-5108A9EF2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162954</xdr:rowOff>
    </xdr:from>
    <xdr:to>
      <xdr:col>3</xdr:col>
      <xdr:colOff>577884</xdr:colOff>
      <xdr:row>16</xdr:row>
      <xdr:rowOff>6152</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6075E2C3-E2B5-AC35-363C-D6983C3BC66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1696361"/>
              <a:ext cx="2412328" cy="145186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88348</xdr:rowOff>
    </xdr:from>
    <xdr:to>
      <xdr:col>3</xdr:col>
      <xdr:colOff>577884</xdr:colOff>
      <xdr:row>7</xdr:row>
      <xdr:rowOff>111</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74A7D871-180F-F7F0-495E-4ADBF61F1E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49311"/>
              <a:ext cx="2412328" cy="9842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33488</xdr:colOff>
      <xdr:row>16</xdr:row>
      <xdr:rowOff>70883</xdr:rowOff>
    </xdr:from>
    <xdr:to>
      <xdr:col>4</xdr:col>
      <xdr:colOff>0</xdr:colOff>
      <xdr:row>22</xdr:row>
      <xdr:rowOff>70884</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94E3B646-BE31-8186-7190-C66EC099AEF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3488" y="3212957"/>
              <a:ext cx="2412438" cy="107244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33488</xdr:colOff>
      <xdr:row>22</xdr:row>
      <xdr:rowOff>0</xdr:rowOff>
    </xdr:from>
    <xdr:to>
      <xdr:col>4</xdr:col>
      <xdr:colOff>0</xdr:colOff>
      <xdr:row>27</xdr:row>
      <xdr:rowOff>53162</xdr:rowOff>
    </xdr:to>
    <mc:AlternateContent xmlns:mc="http://schemas.openxmlformats.org/markup-compatibility/2006" xmlns:a14="http://schemas.microsoft.com/office/drawing/2010/main">
      <mc:Choice Requires="a14">
        <xdr:graphicFrame macro="">
          <xdr:nvGraphicFramePr>
            <xdr:cNvPr id="16" name="Delivery_Status">
              <a:extLst>
                <a:ext uri="{FF2B5EF4-FFF2-40B4-BE49-F238E27FC236}">
                  <a16:creationId xmlns:a16="http://schemas.microsoft.com/office/drawing/2014/main" id="{664D6454-4CEB-9EC2-52A2-AB09A1DF0416}"/>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33488" y="4214519"/>
              <a:ext cx="2412438" cy="94686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3</xdr:col>
      <xdr:colOff>577884</xdr:colOff>
      <xdr:row>1</xdr:row>
      <xdr:rowOff>0</xdr:rowOff>
    </xdr:to>
    <xdr:sp macro="" textlink="">
      <xdr:nvSpPr>
        <xdr:cNvPr id="17" name="Rectangle 16">
          <a:extLst>
            <a:ext uri="{FF2B5EF4-FFF2-40B4-BE49-F238E27FC236}">
              <a16:creationId xmlns:a16="http://schemas.microsoft.com/office/drawing/2014/main" id="{0B5D4D22-75F1-A8E7-7BD3-1D0D2DD7D30F}"/>
            </a:ext>
          </a:extLst>
        </xdr:cNvPr>
        <xdr:cNvSpPr/>
      </xdr:nvSpPr>
      <xdr:spPr>
        <a:xfrm>
          <a:off x="0" y="0"/>
          <a:ext cx="2419384" cy="465667"/>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000" b="1">
              <a:solidFill>
                <a:schemeClr val="bg1"/>
              </a:solidFill>
            </a:rPr>
            <a:t>Filters</a:t>
          </a:r>
        </a:p>
      </xdr:txBody>
    </xdr:sp>
    <xdr:clientData/>
  </xdr:twoCellAnchor>
  <xdr:twoCellAnchor editAs="oneCell">
    <xdr:from>
      <xdr:col>21</xdr:col>
      <xdr:colOff>0</xdr:colOff>
      <xdr:row>0</xdr:row>
      <xdr:rowOff>0</xdr:rowOff>
    </xdr:from>
    <xdr:to>
      <xdr:col>21</xdr:col>
      <xdr:colOff>465667</xdr:colOff>
      <xdr:row>1</xdr:row>
      <xdr:rowOff>0</xdr:rowOff>
    </xdr:to>
    <xdr:pic>
      <xdr:nvPicPr>
        <xdr:cNvPr id="19" name="Graphic 18" descr="Shopping cart with solid fill">
          <a:extLst>
            <a:ext uri="{FF2B5EF4-FFF2-40B4-BE49-F238E27FC236}">
              <a16:creationId xmlns:a16="http://schemas.microsoft.com/office/drawing/2014/main" id="{447B9886-B889-AFD3-C72E-04E5CCDA3A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763500" y="0"/>
          <a:ext cx="465667" cy="465667"/>
        </a:xfrm>
        <a:prstGeom prst="rect">
          <a:avLst/>
        </a:prstGeom>
      </xdr:spPr>
    </xdr:pic>
    <xdr:clientData/>
  </xdr:twoCellAnchor>
  <xdr:twoCellAnchor editAs="oneCell">
    <xdr:from>
      <xdr:col>2</xdr:col>
      <xdr:colOff>328380</xdr:colOff>
      <xdr:row>1</xdr:row>
      <xdr:rowOff>105104</xdr:rowOff>
    </xdr:from>
    <xdr:to>
      <xdr:col>3</xdr:col>
      <xdr:colOff>0</xdr:colOff>
      <xdr:row>3</xdr:row>
      <xdr:rowOff>25242</xdr:rowOff>
    </xdr:to>
    <xdr:pic>
      <xdr:nvPicPr>
        <xdr:cNvPr id="35" name="Graphic 34" descr="Connections with solid fill">
          <a:extLst>
            <a:ext uri="{FF2B5EF4-FFF2-40B4-BE49-F238E27FC236}">
              <a16:creationId xmlns:a16="http://schemas.microsoft.com/office/drawing/2014/main" id="{CBAB16DD-8333-76D4-84A4-8069F0F64BB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37070" y="564932"/>
          <a:ext cx="275964" cy="288000"/>
        </a:xfrm>
        <a:prstGeom prst="rect">
          <a:avLst/>
        </a:prstGeom>
      </xdr:spPr>
    </xdr:pic>
    <xdr:clientData/>
  </xdr:twoCellAnchor>
  <xdr:twoCellAnchor>
    <xdr:from>
      <xdr:col>4</xdr:col>
      <xdr:colOff>594099</xdr:colOff>
      <xdr:row>2</xdr:row>
      <xdr:rowOff>176278</xdr:rowOff>
    </xdr:from>
    <xdr:to>
      <xdr:col>5</xdr:col>
      <xdr:colOff>204479</xdr:colOff>
      <xdr:row>5</xdr:row>
      <xdr:rowOff>120054</xdr:rowOff>
    </xdr:to>
    <xdr:sp macro="" textlink="">
      <xdr:nvSpPr>
        <xdr:cNvPr id="120" name="Graphic 36" descr="Dollar with solid fill">
          <a:extLst>
            <a:ext uri="{FF2B5EF4-FFF2-40B4-BE49-F238E27FC236}">
              <a16:creationId xmlns:a16="http://schemas.microsoft.com/office/drawing/2014/main" id="{384429AF-6E5C-CA93-3719-53AD10C7457D}"/>
            </a:ext>
          </a:extLst>
        </xdr:cNvPr>
        <xdr:cNvSpPr/>
      </xdr:nvSpPr>
      <xdr:spPr>
        <a:xfrm>
          <a:off x="3049432" y="821861"/>
          <a:ext cx="224214" cy="483526"/>
        </a:xfrm>
        <a:custGeom>
          <a:avLst/>
          <a:gdLst>
            <a:gd name="connsiteX0" fmla="*/ 193635 w 224214"/>
            <a:gd name="connsiteY0" fmla="*/ 253008 h 483526"/>
            <a:gd name="connsiteX1" fmla="*/ 126560 w 224214"/>
            <a:gd name="connsiteY1" fmla="*/ 221916 h 483526"/>
            <a:gd name="connsiteX2" fmla="*/ 126560 w 224214"/>
            <a:gd name="connsiteY2" fmla="*/ 85966 h 483526"/>
            <a:gd name="connsiteX3" fmla="*/ 186495 w 224214"/>
            <a:gd name="connsiteY3" fmla="*/ 114472 h 483526"/>
            <a:gd name="connsiteX4" fmla="*/ 213482 w 224214"/>
            <a:gd name="connsiteY4" fmla="*/ 88609 h 483526"/>
            <a:gd name="connsiteX5" fmla="*/ 126560 w 224214"/>
            <a:gd name="connsiteY5" fmla="*/ 48859 h 483526"/>
            <a:gd name="connsiteX6" fmla="*/ 126560 w 224214"/>
            <a:gd name="connsiteY6" fmla="*/ 0 h 483526"/>
            <a:gd name="connsiteX7" fmla="*/ 92826 w 224214"/>
            <a:gd name="connsiteY7" fmla="*/ 0 h 483526"/>
            <a:gd name="connsiteX8" fmla="*/ 92826 w 224214"/>
            <a:gd name="connsiteY8" fmla="*/ 50995 h 483526"/>
            <a:gd name="connsiteX9" fmla="*/ 59766 w 224214"/>
            <a:gd name="connsiteY9" fmla="*/ 62802 h 483526"/>
            <a:gd name="connsiteX10" fmla="*/ 12875 w 224214"/>
            <a:gd name="connsiteY10" fmla="*/ 186495 h 483526"/>
            <a:gd name="connsiteX11" fmla="*/ 92826 w 224214"/>
            <a:gd name="connsiteY11" fmla="*/ 249578 h 483526"/>
            <a:gd name="connsiteX12" fmla="*/ 92826 w 224214"/>
            <a:gd name="connsiteY12" fmla="*/ 396772 h 483526"/>
            <a:gd name="connsiteX13" fmla="*/ 26988 w 224214"/>
            <a:gd name="connsiteY13" fmla="*/ 359833 h 483526"/>
            <a:gd name="connsiteX14" fmla="*/ 0 w 224214"/>
            <a:gd name="connsiteY14" fmla="*/ 385640 h 483526"/>
            <a:gd name="connsiteX15" fmla="*/ 45260 w 224214"/>
            <a:gd name="connsiteY15" fmla="*/ 421680 h 483526"/>
            <a:gd name="connsiteX16" fmla="*/ 92826 w 224214"/>
            <a:gd name="connsiteY16" fmla="*/ 434218 h 483526"/>
            <a:gd name="connsiteX17" fmla="*/ 92826 w 224214"/>
            <a:gd name="connsiteY17" fmla="*/ 483526 h 483526"/>
            <a:gd name="connsiteX18" fmla="*/ 126560 w 224214"/>
            <a:gd name="connsiteY18" fmla="*/ 483526 h 483526"/>
            <a:gd name="connsiteX19" fmla="*/ 126560 w 224214"/>
            <a:gd name="connsiteY19" fmla="*/ 432924 h 483526"/>
            <a:gd name="connsiteX20" fmla="*/ 216069 w 224214"/>
            <a:gd name="connsiteY20" fmla="*/ 365456 h 483526"/>
            <a:gd name="connsiteX21" fmla="*/ 193635 w 224214"/>
            <a:gd name="connsiteY21" fmla="*/ 253008 h 483526"/>
            <a:gd name="connsiteX22" fmla="*/ 64714 w 224214"/>
            <a:gd name="connsiteY22" fmla="*/ 195266 h 483526"/>
            <a:gd name="connsiteX23" fmla="*/ 74103 w 224214"/>
            <a:gd name="connsiteY23" fmla="*/ 97773 h 483526"/>
            <a:gd name="connsiteX24" fmla="*/ 92826 w 224214"/>
            <a:gd name="connsiteY24" fmla="*/ 89171 h 483526"/>
            <a:gd name="connsiteX25" fmla="*/ 92826 w 224214"/>
            <a:gd name="connsiteY25" fmla="*/ 211121 h 483526"/>
            <a:gd name="connsiteX26" fmla="*/ 64714 w 224214"/>
            <a:gd name="connsiteY26" fmla="*/ 195266 h 483526"/>
            <a:gd name="connsiteX27" fmla="*/ 166423 w 224214"/>
            <a:gd name="connsiteY27" fmla="*/ 374170 h 483526"/>
            <a:gd name="connsiteX28" fmla="*/ 126560 w 224214"/>
            <a:gd name="connsiteY28" fmla="*/ 395254 h 483526"/>
            <a:gd name="connsiteX29" fmla="*/ 126560 w 224214"/>
            <a:gd name="connsiteY29" fmla="*/ 260935 h 483526"/>
            <a:gd name="connsiteX30" fmla="*/ 184021 w 224214"/>
            <a:gd name="connsiteY30" fmla="*/ 302372 h 483526"/>
            <a:gd name="connsiteX31" fmla="*/ 166423 w 224214"/>
            <a:gd name="connsiteY31" fmla="*/ 374170 h 483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Lst>
          <a:rect l="l" t="t" r="r" b="b"/>
          <a:pathLst>
            <a:path w="224214" h="483526">
              <a:moveTo>
                <a:pt x="193635" y="253008"/>
              </a:moveTo>
              <a:cubicBezTo>
                <a:pt x="174632" y="236815"/>
                <a:pt x="149949" y="229225"/>
                <a:pt x="126560" y="221916"/>
              </a:cubicBezTo>
              <a:lnTo>
                <a:pt x="126560" y="85966"/>
              </a:lnTo>
              <a:cubicBezTo>
                <a:pt x="149269" y="88124"/>
                <a:pt x="170491" y="98218"/>
                <a:pt x="186495" y="114472"/>
              </a:cubicBezTo>
              <a:lnTo>
                <a:pt x="213482" y="88609"/>
              </a:lnTo>
              <a:cubicBezTo>
                <a:pt x="190387" y="65115"/>
                <a:pt x="159438" y="50961"/>
                <a:pt x="126560" y="48859"/>
              </a:cubicBezTo>
              <a:lnTo>
                <a:pt x="126560" y="0"/>
              </a:lnTo>
              <a:lnTo>
                <a:pt x="92826" y="0"/>
              </a:lnTo>
              <a:lnTo>
                <a:pt x="92826" y="50995"/>
              </a:lnTo>
              <a:cubicBezTo>
                <a:pt x="81274" y="53244"/>
                <a:pt x="70129" y="57224"/>
                <a:pt x="59766" y="62802"/>
              </a:cubicBezTo>
              <a:cubicBezTo>
                <a:pt x="17148" y="86023"/>
                <a:pt x="-4610" y="140560"/>
                <a:pt x="12875" y="186495"/>
              </a:cubicBezTo>
              <a:cubicBezTo>
                <a:pt x="26425" y="221916"/>
                <a:pt x="59091" y="237715"/>
                <a:pt x="92826" y="249578"/>
              </a:cubicBezTo>
              <a:lnTo>
                <a:pt x="92826" y="396772"/>
              </a:lnTo>
              <a:cubicBezTo>
                <a:pt x="66682" y="393568"/>
                <a:pt x="44979" y="378556"/>
                <a:pt x="26988" y="359833"/>
              </a:cubicBezTo>
              <a:lnTo>
                <a:pt x="0" y="385640"/>
              </a:lnTo>
              <a:cubicBezTo>
                <a:pt x="12850" y="400221"/>
                <a:pt x="28172" y="412422"/>
                <a:pt x="45260" y="421680"/>
              </a:cubicBezTo>
              <a:cubicBezTo>
                <a:pt x="60196" y="428785"/>
                <a:pt x="76328" y="433037"/>
                <a:pt x="92826" y="434218"/>
              </a:cubicBezTo>
              <a:lnTo>
                <a:pt x="92826" y="483526"/>
              </a:lnTo>
              <a:lnTo>
                <a:pt x="126560" y="483526"/>
              </a:lnTo>
              <a:lnTo>
                <a:pt x="126560" y="432924"/>
              </a:lnTo>
              <a:cubicBezTo>
                <a:pt x="165242" y="426459"/>
                <a:pt x="200776" y="402676"/>
                <a:pt x="216069" y="365456"/>
              </a:cubicBezTo>
              <a:cubicBezTo>
                <a:pt x="231362" y="328235"/>
                <a:pt x="225795" y="280501"/>
                <a:pt x="193635" y="253008"/>
              </a:cubicBezTo>
              <a:close/>
              <a:moveTo>
                <a:pt x="64714" y="195266"/>
              </a:moveTo>
              <a:cubicBezTo>
                <a:pt x="33791" y="169178"/>
                <a:pt x="41325" y="118689"/>
                <a:pt x="74103" y="97773"/>
              </a:cubicBezTo>
              <a:cubicBezTo>
                <a:pt x="79913" y="94048"/>
                <a:pt x="86214" y="91152"/>
                <a:pt x="92826" y="89171"/>
              </a:cubicBezTo>
              <a:lnTo>
                <a:pt x="92826" y="211121"/>
              </a:lnTo>
              <a:cubicBezTo>
                <a:pt x="82646" y="207419"/>
                <a:pt x="73148" y="202062"/>
                <a:pt x="64714" y="195266"/>
              </a:cubicBezTo>
              <a:close/>
              <a:moveTo>
                <a:pt x="166423" y="374170"/>
              </a:moveTo>
              <a:cubicBezTo>
                <a:pt x="155449" y="384899"/>
                <a:pt x="141604" y="392221"/>
                <a:pt x="126560" y="395254"/>
              </a:cubicBezTo>
              <a:lnTo>
                <a:pt x="126560" y="260935"/>
              </a:lnTo>
              <a:cubicBezTo>
                <a:pt x="149050" y="268638"/>
                <a:pt x="174857" y="278421"/>
                <a:pt x="184021" y="302372"/>
              </a:cubicBezTo>
              <a:cubicBezTo>
                <a:pt x="193186" y="326324"/>
                <a:pt x="183965" y="356291"/>
                <a:pt x="166423" y="374170"/>
              </a:cubicBezTo>
              <a:close/>
            </a:path>
          </a:pathLst>
        </a:custGeom>
        <a:solidFill>
          <a:schemeClr val="bg1"/>
        </a:solidFill>
        <a:ln w="5556" cap="flat">
          <a:noFill/>
          <a:prstDash val="solid"/>
          <a:miter/>
        </a:ln>
      </xdr:spPr>
      <xdr:txBody>
        <a:bodyPr rtlCol="0" anchor="ctr"/>
        <a:lstStyle/>
        <a:p>
          <a:endParaRPr lang="en-AE"/>
        </a:p>
      </xdr:txBody>
    </xdr:sp>
    <xdr:clientData/>
  </xdr:twoCellAnchor>
  <xdr:twoCellAnchor editAs="oneCell">
    <xdr:from>
      <xdr:col>2</xdr:col>
      <xdr:colOff>360313</xdr:colOff>
      <xdr:row>16</xdr:row>
      <xdr:rowOff>115862</xdr:rowOff>
    </xdr:from>
    <xdr:to>
      <xdr:col>3</xdr:col>
      <xdr:colOff>0</xdr:colOff>
      <xdr:row>18</xdr:row>
      <xdr:rowOff>0</xdr:rowOff>
    </xdr:to>
    <xdr:pic>
      <xdr:nvPicPr>
        <xdr:cNvPr id="39" name="Graphic 38" descr="Coins with solid fill">
          <a:extLst>
            <a:ext uri="{FF2B5EF4-FFF2-40B4-BE49-F238E27FC236}">
              <a16:creationId xmlns:a16="http://schemas.microsoft.com/office/drawing/2014/main" id="{907D3E40-2F6F-341E-67A7-4E6FA138BDB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69003" y="3334655"/>
          <a:ext cx="244031" cy="252000"/>
        </a:xfrm>
        <a:prstGeom prst="rect">
          <a:avLst/>
        </a:prstGeom>
      </xdr:spPr>
    </xdr:pic>
    <xdr:clientData/>
  </xdr:twoCellAnchor>
  <xdr:twoCellAnchor editAs="oneCell">
    <xdr:from>
      <xdr:col>3</xdr:col>
      <xdr:colOff>275167</xdr:colOff>
      <xdr:row>0</xdr:row>
      <xdr:rowOff>95250</xdr:rowOff>
    </xdr:from>
    <xdr:to>
      <xdr:col>4</xdr:col>
      <xdr:colOff>0</xdr:colOff>
      <xdr:row>0</xdr:row>
      <xdr:rowOff>433916</xdr:rowOff>
    </xdr:to>
    <xdr:pic>
      <xdr:nvPicPr>
        <xdr:cNvPr id="61" name="Graphic 60" descr="Checklist with solid fill">
          <a:extLst>
            <a:ext uri="{FF2B5EF4-FFF2-40B4-BE49-F238E27FC236}">
              <a16:creationId xmlns:a16="http://schemas.microsoft.com/office/drawing/2014/main" id="{1773433E-F4B7-4C5C-468F-A08BF9B453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16667" y="95250"/>
          <a:ext cx="338666" cy="338666"/>
        </a:xfrm>
        <a:prstGeom prst="rect">
          <a:avLst/>
        </a:prstGeom>
      </xdr:spPr>
    </xdr:pic>
    <xdr:clientData/>
  </xdr:twoCellAnchor>
  <xdr:twoCellAnchor editAs="oneCell">
    <xdr:from>
      <xdr:col>9</xdr:col>
      <xdr:colOff>316149</xdr:colOff>
      <xdr:row>21</xdr:row>
      <xdr:rowOff>32439</xdr:rowOff>
    </xdr:from>
    <xdr:to>
      <xdr:col>9</xdr:col>
      <xdr:colOff>532149</xdr:colOff>
      <xdr:row>22</xdr:row>
      <xdr:rowOff>72958</xdr:rowOff>
    </xdr:to>
    <xdr:pic>
      <xdr:nvPicPr>
        <xdr:cNvPr id="73" name="Graphic 72" descr="Upward trend with solid fill">
          <a:extLst>
            <a:ext uri="{FF2B5EF4-FFF2-40B4-BE49-F238E27FC236}">
              <a16:creationId xmlns:a16="http://schemas.microsoft.com/office/drawing/2014/main" id="{74BB3CFE-ECA3-CB79-20B9-CEB8E3423ED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87958" y="4223439"/>
          <a:ext cx="216000" cy="226966"/>
        </a:xfrm>
        <a:prstGeom prst="rect">
          <a:avLst/>
        </a:prstGeom>
      </xdr:spPr>
    </xdr:pic>
    <xdr:clientData/>
  </xdr:twoCellAnchor>
  <xdr:twoCellAnchor editAs="oneCell">
    <xdr:from>
      <xdr:col>9</xdr:col>
      <xdr:colOff>170070</xdr:colOff>
      <xdr:row>8</xdr:row>
      <xdr:rowOff>0</xdr:rowOff>
    </xdr:from>
    <xdr:to>
      <xdr:col>9</xdr:col>
      <xdr:colOff>424070</xdr:colOff>
      <xdr:row>9</xdr:row>
      <xdr:rowOff>74083</xdr:rowOff>
    </xdr:to>
    <xdr:pic>
      <xdr:nvPicPr>
        <xdr:cNvPr id="75" name="Graphic 74" descr="Bar chart with solid fill">
          <a:extLst>
            <a:ext uri="{FF2B5EF4-FFF2-40B4-BE49-F238E27FC236}">
              <a16:creationId xmlns:a16="http://schemas.microsoft.com/office/drawing/2014/main" id="{7E8BB4E6-8FE5-A1FC-B84A-FEC7E51247E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656470" y="1762539"/>
          <a:ext cx="254000" cy="259614"/>
        </a:xfrm>
        <a:prstGeom prst="rect">
          <a:avLst/>
        </a:prstGeom>
      </xdr:spPr>
    </xdr:pic>
    <xdr:clientData/>
  </xdr:twoCellAnchor>
  <xdr:twoCellAnchor editAs="oneCell">
    <xdr:from>
      <xdr:col>21</xdr:col>
      <xdr:colOff>267510</xdr:colOff>
      <xdr:row>8</xdr:row>
      <xdr:rowOff>15511</xdr:rowOff>
    </xdr:from>
    <xdr:to>
      <xdr:col>21</xdr:col>
      <xdr:colOff>519510</xdr:colOff>
      <xdr:row>9</xdr:row>
      <xdr:rowOff>81064</xdr:rowOff>
    </xdr:to>
    <xdr:pic>
      <xdr:nvPicPr>
        <xdr:cNvPr id="79" name="Graphic 78" descr="Pie chart with solid fill">
          <a:extLst>
            <a:ext uri="{FF2B5EF4-FFF2-40B4-BE49-F238E27FC236}">
              <a16:creationId xmlns:a16="http://schemas.microsoft.com/office/drawing/2014/main" id="{DF7769D4-72FE-99C6-430C-7AE59B706B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15990701" flipH="1">
          <a:off x="12913467" y="1782702"/>
          <a:ext cx="252000" cy="252000"/>
        </a:xfrm>
        <a:prstGeom prst="rect">
          <a:avLst/>
        </a:prstGeom>
      </xdr:spPr>
    </xdr:pic>
    <xdr:clientData/>
  </xdr:twoCellAnchor>
  <xdr:twoCellAnchor editAs="oneCell">
    <xdr:from>
      <xdr:col>15</xdr:col>
      <xdr:colOff>267511</xdr:colOff>
      <xdr:row>21</xdr:row>
      <xdr:rowOff>0</xdr:rowOff>
    </xdr:from>
    <xdr:to>
      <xdr:col>15</xdr:col>
      <xdr:colOff>509266</xdr:colOff>
      <xdr:row>22</xdr:row>
      <xdr:rowOff>65553</xdr:rowOff>
    </xdr:to>
    <xdr:pic>
      <xdr:nvPicPr>
        <xdr:cNvPr id="87" name="Graphic 86" descr="Arrow circle with solid fill">
          <a:extLst>
            <a:ext uri="{FF2B5EF4-FFF2-40B4-BE49-F238E27FC236}">
              <a16:creationId xmlns:a16="http://schemas.microsoft.com/office/drawing/2014/main" id="{456766E6-41BE-2495-CAD6-639A37BC03C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387192" y="4191000"/>
          <a:ext cx="241755" cy="252000"/>
        </a:xfrm>
        <a:prstGeom prst="rect">
          <a:avLst/>
        </a:prstGeom>
      </xdr:spPr>
    </xdr:pic>
    <xdr:clientData/>
  </xdr:twoCellAnchor>
  <xdr:twoCellAnchor editAs="oneCell">
    <xdr:from>
      <xdr:col>2</xdr:col>
      <xdr:colOff>286037</xdr:colOff>
      <xdr:row>22</xdr:row>
      <xdr:rowOff>0</xdr:rowOff>
    </xdr:from>
    <xdr:to>
      <xdr:col>2</xdr:col>
      <xdr:colOff>564930</xdr:colOff>
      <xdr:row>23</xdr:row>
      <xdr:rowOff>104069</xdr:rowOff>
    </xdr:to>
    <xdr:pic>
      <xdr:nvPicPr>
        <xdr:cNvPr id="103" name="Graphic 102" descr="Thumbs up sign with solid fill">
          <a:extLst>
            <a:ext uri="{FF2B5EF4-FFF2-40B4-BE49-F238E27FC236}">
              <a16:creationId xmlns:a16="http://schemas.microsoft.com/office/drawing/2014/main" id="{8054138F-41AC-E17D-131D-388D3A961D5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94727" y="4322379"/>
          <a:ext cx="278893" cy="288000"/>
        </a:xfrm>
        <a:prstGeom prst="rect">
          <a:avLst/>
        </a:prstGeom>
      </xdr:spPr>
    </xdr:pic>
    <xdr:clientData/>
  </xdr:twoCellAnchor>
  <xdr:twoCellAnchor editAs="oneCell">
    <xdr:from>
      <xdr:col>18</xdr:col>
      <xdr:colOff>0</xdr:colOff>
      <xdr:row>3</xdr:row>
      <xdr:rowOff>84667</xdr:rowOff>
    </xdr:from>
    <xdr:to>
      <xdr:col>18</xdr:col>
      <xdr:colOff>434857</xdr:colOff>
      <xdr:row>6</xdr:row>
      <xdr:rowOff>0</xdr:rowOff>
    </xdr:to>
    <xdr:pic>
      <xdr:nvPicPr>
        <xdr:cNvPr id="111" name="Graphic 110" descr="Shopping cart with solid fill">
          <a:extLst>
            <a:ext uri="{FF2B5EF4-FFF2-40B4-BE49-F238E27FC236}">
              <a16:creationId xmlns:a16="http://schemas.microsoft.com/office/drawing/2014/main" id="{D411A0A0-99DE-87EA-D97B-A195C6F30C4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25"/>
            </a:ext>
          </a:extLst>
        </a:blip>
        <a:stretch>
          <a:fillRect/>
        </a:stretch>
      </xdr:blipFill>
      <xdr:spPr>
        <a:xfrm>
          <a:off x="11049000" y="910167"/>
          <a:ext cx="434857" cy="455083"/>
        </a:xfrm>
        <a:prstGeom prst="rect">
          <a:avLst/>
        </a:prstGeom>
      </xdr:spPr>
    </xdr:pic>
    <xdr:clientData/>
  </xdr:twoCellAnchor>
  <xdr:twoCellAnchor editAs="oneCell">
    <xdr:from>
      <xdr:col>13</xdr:col>
      <xdr:colOff>148168</xdr:colOff>
      <xdr:row>3</xdr:row>
      <xdr:rowOff>0</xdr:rowOff>
    </xdr:from>
    <xdr:to>
      <xdr:col>14</xdr:col>
      <xdr:colOff>148167</xdr:colOff>
      <xdr:row>6</xdr:row>
      <xdr:rowOff>0</xdr:rowOff>
    </xdr:to>
    <xdr:pic>
      <xdr:nvPicPr>
        <xdr:cNvPr id="113" name="Graphic 112" descr="Chat with solid fill">
          <a:extLst>
            <a:ext uri="{FF2B5EF4-FFF2-40B4-BE49-F238E27FC236}">
              <a16:creationId xmlns:a16="http://schemas.microsoft.com/office/drawing/2014/main" id="{1ABA12A9-2054-20F4-654B-23C668148F3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8128001" y="825500"/>
          <a:ext cx="613833" cy="539750"/>
        </a:xfrm>
        <a:prstGeom prst="rect">
          <a:avLst/>
        </a:prstGeom>
      </xdr:spPr>
    </xdr:pic>
    <xdr:clientData/>
  </xdr:twoCellAnchor>
  <xdr:twoCellAnchor editAs="oneCell">
    <xdr:from>
      <xdr:col>2</xdr:col>
      <xdr:colOff>328380</xdr:colOff>
      <xdr:row>8</xdr:row>
      <xdr:rowOff>0</xdr:rowOff>
    </xdr:from>
    <xdr:to>
      <xdr:col>3</xdr:col>
      <xdr:colOff>0</xdr:colOff>
      <xdr:row>9</xdr:row>
      <xdr:rowOff>104069</xdr:rowOff>
    </xdr:to>
    <xdr:pic>
      <xdr:nvPicPr>
        <xdr:cNvPr id="119" name="Graphic 118" descr="Marker with solid fill">
          <a:extLst>
            <a:ext uri="{FF2B5EF4-FFF2-40B4-BE49-F238E27FC236}">
              <a16:creationId xmlns:a16="http://schemas.microsoft.com/office/drawing/2014/main" id="{444313B2-F031-DA08-89EA-21B4DA98A49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37070" y="1747345"/>
          <a:ext cx="275964" cy="288000"/>
        </a:xfrm>
        <a:prstGeom prst="rect">
          <a:avLst/>
        </a:prstGeom>
      </xdr:spPr>
    </xdr:pic>
    <xdr:clientData/>
  </xdr:twoCellAnchor>
  <xdr:twoCellAnchor editAs="oneCell">
    <xdr:from>
      <xdr:col>15</xdr:col>
      <xdr:colOff>137809</xdr:colOff>
      <xdr:row>8</xdr:row>
      <xdr:rowOff>5404</xdr:rowOff>
    </xdr:from>
    <xdr:to>
      <xdr:col>15</xdr:col>
      <xdr:colOff>398339</xdr:colOff>
      <xdr:row>9</xdr:row>
      <xdr:rowOff>72957</xdr:rowOff>
    </xdr:to>
    <xdr:pic>
      <xdr:nvPicPr>
        <xdr:cNvPr id="121" name="Graphic 120" descr="Bar chart with solid fill">
          <a:extLst>
            <a:ext uri="{FF2B5EF4-FFF2-40B4-BE49-F238E27FC236}">
              <a16:creationId xmlns:a16="http://schemas.microsoft.com/office/drawing/2014/main" id="{E74784B3-262E-9B6F-4FD2-22F2048C0B4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rot="5400000">
          <a:off x="9260755" y="1769330"/>
          <a:ext cx="254000" cy="260530"/>
        </a:xfrm>
        <a:prstGeom prst="rect">
          <a:avLst/>
        </a:prstGeom>
      </xdr:spPr>
    </xdr:pic>
    <xdr:clientData/>
  </xdr:twoCellAnchor>
  <xdr:twoCellAnchor editAs="oneCell">
    <xdr:from>
      <xdr:col>21</xdr:col>
      <xdr:colOff>210064</xdr:colOff>
      <xdr:row>21</xdr:row>
      <xdr:rowOff>0</xdr:rowOff>
    </xdr:from>
    <xdr:to>
      <xdr:col>21</xdr:col>
      <xdr:colOff>462064</xdr:colOff>
      <xdr:row>22</xdr:row>
      <xdr:rowOff>65553</xdr:rowOff>
    </xdr:to>
    <xdr:pic>
      <xdr:nvPicPr>
        <xdr:cNvPr id="122" name="Graphic 121" descr="Pie chart with solid fill">
          <a:extLst>
            <a:ext uri="{FF2B5EF4-FFF2-40B4-BE49-F238E27FC236}">
              <a16:creationId xmlns:a16="http://schemas.microsoft.com/office/drawing/2014/main" id="{8D4F4344-9DD9-4FF0-A5E1-0717FF24005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30"/>
            </a:ext>
          </a:extLst>
        </a:blip>
        <a:stretch>
          <a:fillRect/>
        </a:stretch>
      </xdr:blipFill>
      <xdr:spPr>
        <a:xfrm flipH="1">
          <a:off x="12856021" y="4191000"/>
          <a:ext cx="252000" cy="252000"/>
        </a:xfrm>
        <a:prstGeom prst="rect">
          <a:avLst/>
        </a:prstGeom>
      </xdr:spPr>
    </xdr:pic>
    <xdr:clientData/>
  </xdr:twoCellAnchor>
  <xdr:twoCellAnchor editAs="oneCell">
    <xdr:from>
      <xdr:col>9</xdr:col>
      <xdr:colOff>84672</xdr:colOff>
      <xdr:row>3</xdr:row>
      <xdr:rowOff>64345</xdr:rowOff>
    </xdr:from>
    <xdr:to>
      <xdr:col>10</xdr:col>
      <xdr:colOff>0</xdr:colOff>
      <xdr:row>6</xdr:row>
      <xdr:rowOff>52552</xdr:rowOff>
    </xdr:to>
    <xdr:pic>
      <xdr:nvPicPr>
        <xdr:cNvPr id="123" name="Graphic 122" descr="Upward trend with solid fill">
          <a:extLst>
            <a:ext uri="{FF2B5EF4-FFF2-40B4-BE49-F238E27FC236}">
              <a16:creationId xmlns:a16="http://schemas.microsoft.com/office/drawing/2014/main" id="{46850634-6864-4531-8406-745EDB4522B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31"/>
            </a:ext>
          </a:extLst>
        </a:blip>
        <a:stretch>
          <a:fillRect/>
        </a:stretch>
      </xdr:blipFill>
      <xdr:spPr>
        <a:xfrm>
          <a:off x="5523775" y="892035"/>
          <a:ext cx="519673" cy="5400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1</cdr:x>
      <cdr:y>0.12444</cdr:y>
    </cdr:to>
    <cdr:sp macro="" textlink="">
      <cdr:nvSpPr>
        <cdr:cNvPr id="2" name="Rectangle: Rounded Corners 1">
          <a:extLst xmlns:a="http://schemas.openxmlformats.org/drawingml/2006/main">
            <a:ext uri="{FF2B5EF4-FFF2-40B4-BE49-F238E27FC236}">
              <a16:creationId xmlns:a16="http://schemas.microsoft.com/office/drawing/2014/main" id="{8944708E-5F79-5C24-124A-7B84C84E761E}"/>
            </a:ext>
          </a:extLst>
        </cdr:cNvPr>
        <cdr:cNvSpPr/>
      </cdr:nvSpPr>
      <cdr:spPr>
        <a:xfrm xmlns:a="http://schemas.openxmlformats.org/drawingml/2006/main">
          <a:off x="0" y="0"/>
          <a:ext cx="3411894" cy="274116"/>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E" sz="1400" b="1" kern="1200">
              <a:ln>
                <a:noFill/>
              </a:ln>
            </a:rPr>
            <a:t>Profit By State</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0.12444</cdr:y>
    </cdr:to>
    <cdr:sp macro="" textlink="">
      <cdr:nvSpPr>
        <cdr:cNvPr id="4" name="Rectangle: Rounded Corners 3">
          <a:extLst xmlns:a="http://schemas.openxmlformats.org/drawingml/2006/main">
            <a:ext uri="{FF2B5EF4-FFF2-40B4-BE49-F238E27FC236}">
              <a16:creationId xmlns:a16="http://schemas.microsoft.com/office/drawing/2014/main" id="{0452AFDC-89C7-69BB-5F69-D76C526E4CF8}"/>
            </a:ext>
          </a:extLst>
        </cdr:cNvPr>
        <cdr:cNvSpPr/>
      </cdr:nvSpPr>
      <cdr:spPr>
        <a:xfrm xmlns:a="http://schemas.openxmlformats.org/drawingml/2006/main">
          <a:off x="0" y="0"/>
          <a:ext cx="3420000" cy="268790"/>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E" sz="1400" b="1" kern="1200">
              <a:ln>
                <a:noFill/>
              </a:ln>
            </a:rPr>
            <a:t>Payment</a:t>
          </a:r>
          <a:r>
            <a:rPr lang="en-AE" sz="1400" b="1" kern="1200" baseline="0">
              <a:ln>
                <a:noFill/>
              </a:ln>
            </a:rPr>
            <a:t> Mode analysis</a:t>
          </a:r>
          <a:endParaRPr lang="en-AE" sz="1400" b="1" kern="1200">
            <a:ln>
              <a:noFill/>
            </a:ln>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0.12444</cdr:y>
    </cdr:to>
    <cdr:sp macro="" textlink="">
      <cdr:nvSpPr>
        <cdr:cNvPr id="2" name="Rectangle: Rounded Corners 1">
          <a:extLst xmlns:a="http://schemas.openxmlformats.org/drawingml/2006/main">
            <a:ext uri="{FF2B5EF4-FFF2-40B4-BE49-F238E27FC236}">
              <a16:creationId xmlns:a16="http://schemas.microsoft.com/office/drawing/2014/main" id="{FF8DAB53-79CE-7433-BC4A-25A9210760D6}"/>
            </a:ext>
          </a:extLst>
        </cdr:cNvPr>
        <cdr:cNvSpPr/>
      </cdr:nvSpPr>
      <cdr:spPr>
        <a:xfrm xmlns:a="http://schemas.openxmlformats.org/drawingml/2006/main">
          <a:off x="0" y="0"/>
          <a:ext cx="3411894" cy="274116"/>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E" sz="1400" b="1" kern="1200">
              <a:ln>
                <a:noFill/>
              </a:ln>
            </a:rPr>
            <a:t>Quantity</a:t>
          </a:r>
          <a:r>
            <a:rPr lang="en-AE" sz="1400" b="1" kern="1200" baseline="0">
              <a:ln>
                <a:noFill/>
              </a:ln>
            </a:rPr>
            <a:t> By Product</a:t>
          </a:r>
          <a:endParaRPr lang="en-AE" sz="1400" b="1" kern="1200">
            <a:ln>
              <a:noFill/>
            </a:ln>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0.01222</cdr:y>
    </cdr:from>
    <cdr:to>
      <cdr:x>1</cdr:x>
      <cdr:y>0.13666</cdr:y>
    </cdr:to>
    <cdr:sp macro="" textlink="">
      <cdr:nvSpPr>
        <cdr:cNvPr id="2" name="Rectangle: Rounded Corners 1">
          <a:extLst xmlns:a="http://schemas.openxmlformats.org/drawingml/2006/main">
            <a:ext uri="{FF2B5EF4-FFF2-40B4-BE49-F238E27FC236}">
              <a16:creationId xmlns:a16="http://schemas.microsoft.com/office/drawing/2014/main" id="{FF8DAB53-79CE-7433-BC4A-25A9210760D6}"/>
            </a:ext>
          </a:extLst>
        </cdr:cNvPr>
        <cdr:cNvSpPr/>
      </cdr:nvSpPr>
      <cdr:spPr>
        <a:xfrm xmlns:a="http://schemas.openxmlformats.org/drawingml/2006/main">
          <a:off x="0" y="26400"/>
          <a:ext cx="3420000" cy="268790"/>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E" sz="1400" b="1" kern="1200">
              <a:ln>
                <a:noFill/>
              </a:ln>
            </a:rPr>
            <a:t>Delivery</a:t>
          </a:r>
          <a:r>
            <a:rPr lang="en-AE" sz="1400" b="1" kern="1200" baseline="0">
              <a:ln>
                <a:noFill/>
              </a:ln>
            </a:rPr>
            <a:t> Status Analysis</a:t>
          </a:r>
          <a:endParaRPr lang="en-AE" sz="1400" b="1" kern="1200">
            <a:ln>
              <a:noFill/>
            </a:ln>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0.00164</cdr:y>
    </cdr:from>
    <cdr:to>
      <cdr:x>1</cdr:x>
      <cdr:y>0.12608</cdr:y>
    </cdr:to>
    <cdr:sp macro="" textlink="">
      <cdr:nvSpPr>
        <cdr:cNvPr id="2" name="Rectangle: Rounded Corners 1">
          <a:extLst xmlns:a="http://schemas.openxmlformats.org/drawingml/2006/main">
            <a:ext uri="{FF2B5EF4-FFF2-40B4-BE49-F238E27FC236}">
              <a16:creationId xmlns:a16="http://schemas.microsoft.com/office/drawing/2014/main" id="{FF8DAB53-79CE-7433-BC4A-25A9210760D6}"/>
            </a:ext>
          </a:extLst>
        </cdr:cNvPr>
        <cdr:cNvSpPr/>
      </cdr:nvSpPr>
      <cdr:spPr>
        <a:xfrm xmlns:a="http://schemas.openxmlformats.org/drawingml/2006/main">
          <a:off x="0" y="3610"/>
          <a:ext cx="3410596" cy="274116"/>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E" sz="1400" b="1" kern="1200">
              <a:ln>
                <a:noFill/>
              </a:ln>
            </a:rPr>
            <a:t>Discount</a:t>
          </a:r>
          <a:r>
            <a:rPr lang="en-AE" sz="1400" b="1" kern="1200" baseline="0">
              <a:ln>
                <a:noFill/>
              </a:ln>
            </a:rPr>
            <a:t> Analysis</a:t>
          </a:r>
          <a:endParaRPr lang="en-AE" sz="1400" b="1" kern="1200">
            <a:ln>
              <a:noFill/>
            </a:ln>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0.03499</cdr:y>
    </cdr:from>
    <cdr:to>
      <cdr:x>1</cdr:x>
      <cdr:y>0.15943</cdr:y>
    </cdr:to>
    <cdr:sp macro="" textlink="">
      <cdr:nvSpPr>
        <cdr:cNvPr id="5" name="Rectangle: Rounded Corners 4">
          <a:extLst xmlns:a="http://schemas.openxmlformats.org/drawingml/2006/main">
            <a:ext uri="{FF2B5EF4-FFF2-40B4-BE49-F238E27FC236}">
              <a16:creationId xmlns:a16="http://schemas.microsoft.com/office/drawing/2014/main" id="{1A12E13C-CB71-4E5A-63F2-DC631FC3581C}"/>
            </a:ext>
          </a:extLst>
        </cdr:cNvPr>
        <cdr:cNvSpPr/>
      </cdr:nvSpPr>
      <cdr:spPr>
        <a:xfrm xmlns:a="http://schemas.openxmlformats.org/drawingml/2006/main">
          <a:off x="0" y="76058"/>
          <a:ext cx="3423229" cy="270526"/>
        </a:xfrm>
        <a:prstGeom xmlns:a="http://schemas.openxmlformats.org/drawingml/2006/main" prst="roundRect">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AE" sz="1400" b="1">
              <a:solidFill>
                <a:schemeClr val="lt1"/>
              </a:solidFill>
              <a:effectLst/>
              <a:latin typeface="+mn-lt"/>
              <a:ea typeface="+mn-ea"/>
              <a:cs typeface="+mn-cs"/>
            </a:rPr>
            <a:t>Sales</a:t>
          </a:r>
          <a:r>
            <a:rPr lang="en-AE" sz="1400" b="1" baseline="0">
              <a:solidFill>
                <a:schemeClr val="lt1"/>
              </a:solidFill>
              <a:effectLst/>
              <a:latin typeface="+mn-lt"/>
              <a:ea typeface="+mn-ea"/>
              <a:cs typeface="+mn-cs"/>
            </a:rPr>
            <a:t> By Category</a:t>
          </a:r>
          <a:endParaRPr lang="en-AE" sz="1400">
            <a:effectLst/>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14</xdr:col>
      <xdr:colOff>106146</xdr:colOff>
      <xdr:row>37</xdr:row>
      <xdr:rowOff>20572</xdr:rowOff>
    </xdr:from>
    <xdr:to>
      <xdr:col>15</xdr:col>
      <xdr:colOff>379783</xdr:colOff>
      <xdr:row>42</xdr:row>
      <xdr:rowOff>18254</xdr:rowOff>
    </xdr:to>
    <xdr:pic>
      <xdr:nvPicPr>
        <xdr:cNvPr id="2" name="Graphic 1" descr="Checklist with solid fill">
          <a:extLst>
            <a:ext uri="{FF2B5EF4-FFF2-40B4-BE49-F238E27FC236}">
              <a16:creationId xmlns:a16="http://schemas.microsoft.com/office/drawing/2014/main" id="{2703B0E4-3A58-41A3-81C5-ECD515E79A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40546" y="6787132"/>
          <a:ext cx="883237" cy="912082"/>
        </a:xfrm>
        <a:prstGeom prst="rect">
          <a:avLst/>
        </a:prstGeom>
      </xdr:spPr>
    </xdr:pic>
    <xdr:clientData/>
  </xdr:twoCellAnchor>
  <xdr:twoCellAnchor editAs="oneCell">
    <xdr:from>
      <xdr:col>13</xdr:col>
      <xdr:colOff>166950</xdr:colOff>
      <xdr:row>47</xdr:row>
      <xdr:rowOff>73416</xdr:rowOff>
    </xdr:from>
    <xdr:to>
      <xdr:col>14</xdr:col>
      <xdr:colOff>452773</xdr:colOff>
      <xdr:row>52</xdr:row>
      <xdr:rowOff>93488</xdr:rowOff>
    </xdr:to>
    <xdr:pic>
      <xdr:nvPicPr>
        <xdr:cNvPr id="3" name="Graphic 2" descr="Email with solid fill">
          <a:extLst>
            <a:ext uri="{FF2B5EF4-FFF2-40B4-BE49-F238E27FC236}">
              <a16:creationId xmlns:a16="http://schemas.microsoft.com/office/drawing/2014/main" id="{5DA15DBF-FF26-445F-A15C-32CAECBEF5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091750" y="8668776"/>
          <a:ext cx="895423" cy="934472"/>
        </a:xfrm>
        <a:prstGeom prst="rect">
          <a:avLst/>
        </a:prstGeom>
      </xdr:spPr>
    </xdr:pic>
    <xdr:clientData/>
  </xdr:twoCellAnchor>
  <xdr:twoCellAnchor editAs="oneCell">
    <xdr:from>
      <xdr:col>11</xdr:col>
      <xdr:colOff>428321</xdr:colOff>
      <xdr:row>48</xdr:row>
      <xdr:rowOff>13303</xdr:rowOff>
    </xdr:from>
    <xdr:to>
      <xdr:col>13</xdr:col>
      <xdr:colOff>114033</xdr:colOff>
      <xdr:row>53</xdr:row>
      <xdr:rowOff>37500</xdr:rowOff>
    </xdr:to>
    <xdr:pic>
      <xdr:nvPicPr>
        <xdr:cNvPr id="4" name="Graphic 3" descr="Map with pin with solid fill">
          <a:extLst>
            <a:ext uri="{FF2B5EF4-FFF2-40B4-BE49-F238E27FC236}">
              <a16:creationId xmlns:a16="http://schemas.microsoft.com/office/drawing/2014/main" id="{D3F908B3-8CF5-4C19-8723-839AF811D4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33921" y="8791543"/>
          <a:ext cx="904912" cy="938597"/>
        </a:xfrm>
        <a:prstGeom prst="rect">
          <a:avLst/>
        </a:prstGeom>
      </xdr:spPr>
    </xdr:pic>
    <xdr:clientData/>
  </xdr:twoCellAnchor>
  <xdr:twoCellAnchor editAs="oneCell">
    <xdr:from>
      <xdr:col>6</xdr:col>
      <xdr:colOff>257883</xdr:colOff>
      <xdr:row>21</xdr:row>
      <xdr:rowOff>156371</xdr:rowOff>
    </xdr:from>
    <xdr:to>
      <xdr:col>8</xdr:col>
      <xdr:colOff>261093</xdr:colOff>
      <xdr:row>28</xdr:row>
      <xdr:rowOff>138555</xdr:rowOff>
    </xdr:to>
    <xdr:pic>
      <xdr:nvPicPr>
        <xdr:cNvPr id="5" name="Graphic 4" descr="Marketing with solid fill">
          <a:extLst>
            <a:ext uri="{FF2B5EF4-FFF2-40B4-BE49-F238E27FC236}">
              <a16:creationId xmlns:a16="http://schemas.microsoft.com/office/drawing/2014/main" id="{B75053D6-014F-4F1B-AFB7-AD13CD4C99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15483" y="3996851"/>
          <a:ext cx="1222410" cy="1262344"/>
        </a:xfrm>
        <a:prstGeom prst="rect">
          <a:avLst/>
        </a:prstGeom>
      </xdr:spPr>
    </xdr:pic>
    <xdr:clientData/>
  </xdr:twoCellAnchor>
  <xdr:twoCellAnchor editAs="oneCell">
    <xdr:from>
      <xdr:col>4</xdr:col>
      <xdr:colOff>458892</xdr:colOff>
      <xdr:row>22</xdr:row>
      <xdr:rowOff>178589</xdr:rowOff>
    </xdr:from>
    <xdr:to>
      <xdr:col>6</xdr:col>
      <xdr:colOff>462104</xdr:colOff>
      <xdr:row>29</xdr:row>
      <xdr:rowOff>160773</xdr:rowOff>
    </xdr:to>
    <xdr:pic>
      <xdr:nvPicPr>
        <xdr:cNvPr id="6" name="Graphic 5" descr="Piggy Bank with solid fill">
          <a:extLst>
            <a:ext uri="{FF2B5EF4-FFF2-40B4-BE49-F238E27FC236}">
              <a16:creationId xmlns:a16="http://schemas.microsoft.com/office/drawing/2014/main" id="{1915F6DF-68A2-4368-AFD2-89E2BC0CE4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97292" y="4201949"/>
          <a:ext cx="1222412" cy="1262344"/>
        </a:xfrm>
        <a:prstGeom prst="rect">
          <a:avLst/>
        </a:prstGeom>
      </xdr:spPr>
    </xdr:pic>
    <xdr:clientData/>
  </xdr:twoCellAnchor>
  <xdr:twoCellAnchor editAs="oneCell">
    <xdr:from>
      <xdr:col>6</xdr:col>
      <xdr:colOff>575382</xdr:colOff>
      <xdr:row>31</xdr:row>
      <xdr:rowOff>85722</xdr:rowOff>
    </xdr:from>
    <xdr:to>
      <xdr:col>8</xdr:col>
      <xdr:colOff>261093</xdr:colOff>
      <xdr:row>36</xdr:row>
      <xdr:rowOff>109919</xdr:rowOff>
    </xdr:to>
    <xdr:pic>
      <xdr:nvPicPr>
        <xdr:cNvPr id="7" name="Graphic 6" descr="Chat bubble with solid fill">
          <a:extLst>
            <a:ext uri="{FF2B5EF4-FFF2-40B4-BE49-F238E27FC236}">
              <a16:creationId xmlns:a16="http://schemas.microsoft.com/office/drawing/2014/main" id="{8C9847D5-E7F8-41E1-A57C-A69C4A1279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32982" y="5755002"/>
          <a:ext cx="904911" cy="938597"/>
        </a:xfrm>
        <a:prstGeom prst="rect">
          <a:avLst/>
        </a:prstGeom>
      </xdr:spPr>
    </xdr:pic>
    <xdr:clientData/>
  </xdr:twoCellAnchor>
  <xdr:twoCellAnchor editAs="oneCell">
    <xdr:from>
      <xdr:col>6</xdr:col>
      <xdr:colOff>417050</xdr:colOff>
      <xdr:row>26</xdr:row>
      <xdr:rowOff>162043</xdr:rowOff>
    </xdr:from>
    <xdr:to>
      <xdr:col>8</xdr:col>
      <xdr:colOff>420260</xdr:colOff>
      <xdr:row>33</xdr:row>
      <xdr:rowOff>144227</xdr:rowOff>
    </xdr:to>
    <xdr:pic>
      <xdr:nvPicPr>
        <xdr:cNvPr id="8" name="Graphic 7" descr="Chat bubble with solid fill">
          <a:extLst>
            <a:ext uri="{FF2B5EF4-FFF2-40B4-BE49-F238E27FC236}">
              <a16:creationId xmlns:a16="http://schemas.microsoft.com/office/drawing/2014/main" id="{6928B657-03FA-45FF-83A3-5D3C02ECA4E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74650" y="4916923"/>
          <a:ext cx="1222410" cy="1262344"/>
        </a:xfrm>
        <a:prstGeom prst="rect">
          <a:avLst/>
        </a:prstGeom>
      </xdr:spPr>
    </xdr:pic>
    <xdr:clientData/>
  </xdr:twoCellAnchor>
  <xdr:twoCellAnchor editAs="oneCell">
    <xdr:from>
      <xdr:col>1</xdr:col>
      <xdr:colOff>442909</xdr:colOff>
      <xdr:row>29</xdr:row>
      <xdr:rowOff>86681</xdr:rowOff>
    </xdr:from>
    <xdr:to>
      <xdr:col>3</xdr:col>
      <xdr:colOff>446119</xdr:colOff>
      <xdr:row>36</xdr:row>
      <xdr:rowOff>68865</xdr:rowOff>
    </xdr:to>
    <xdr:pic>
      <xdr:nvPicPr>
        <xdr:cNvPr id="9" name="Graphic 8" descr="Checkmark with solid fill">
          <a:extLst>
            <a:ext uri="{FF2B5EF4-FFF2-40B4-BE49-F238E27FC236}">
              <a16:creationId xmlns:a16="http://schemas.microsoft.com/office/drawing/2014/main" id="{D38AB097-8AF4-454B-B147-010DEE02668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2509" y="5390201"/>
          <a:ext cx="1222410" cy="1262344"/>
        </a:xfrm>
        <a:prstGeom prst="rect">
          <a:avLst/>
        </a:prstGeom>
      </xdr:spPr>
    </xdr:pic>
    <xdr:clientData/>
  </xdr:twoCellAnchor>
  <xdr:twoCellAnchor editAs="oneCell">
    <xdr:from>
      <xdr:col>2</xdr:col>
      <xdr:colOff>278902</xdr:colOff>
      <xdr:row>22</xdr:row>
      <xdr:rowOff>15825</xdr:rowOff>
    </xdr:from>
    <xdr:to>
      <xdr:col>4</xdr:col>
      <xdr:colOff>282114</xdr:colOff>
      <xdr:row>28</xdr:row>
      <xdr:rowOff>180889</xdr:rowOff>
    </xdr:to>
    <xdr:pic>
      <xdr:nvPicPr>
        <xdr:cNvPr id="10" name="Graphic 9" descr="Close with solid fill">
          <a:extLst>
            <a:ext uri="{FF2B5EF4-FFF2-40B4-BE49-F238E27FC236}">
              <a16:creationId xmlns:a16="http://schemas.microsoft.com/office/drawing/2014/main" id="{52BB6BE3-FB2A-44B4-A97A-A25A1E97EDF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98102" y="4039185"/>
          <a:ext cx="1222412" cy="1262344"/>
        </a:xfrm>
        <a:prstGeom prst="rect">
          <a:avLst/>
        </a:prstGeom>
      </xdr:spPr>
    </xdr:pic>
    <xdr:clientData/>
  </xdr:twoCellAnchor>
  <xdr:twoCellAnchor editAs="oneCell">
    <xdr:from>
      <xdr:col>2</xdr:col>
      <xdr:colOff>593834</xdr:colOff>
      <xdr:row>27</xdr:row>
      <xdr:rowOff>48595</xdr:rowOff>
    </xdr:from>
    <xdr:to>
      <xdr:col>4</xdr:col>
      <xdr:colOff>584228</xdr:colOff>
      <xdr:row>34</xdr:row>
      <xdr:rowOff>30781</xdr:rowOff>
    </xdr:to>
    <xdr:pic>
      <xdr:nvPicPr>
        <xdr:cNvPr id="11" name="Graphic 10" descr="Cursor with solid fill">
          <a:extLst>
            <a:ext uri="{FF2B5EF4-FFF2-40B4-BE49-F238E27FC236}">
              <a16:creationId xmlns:a16="http://schemas.microsoft.com/office/drawing/2014/main" id="{1F03CDF9-AAEB-4E2F-A00C-705A57FBBD0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813034" y="4986355"/>
          <a:ext cx="1209594" cy="1262346"/>
        </a:xfrm>
        <a:prstGeom prst="rect">
          <a:avLst/>
        </a:prstGeom>
      </xdr:spPr>
    </xdr:pic>
    <xdr:clientData/>
  </xdr:twoCellAnchor>
  <xdr:twoCellAnchor editAs="oneCell">
    <xdr:from>
      <xdr:col>8</xdr:col>
      <xdr:colOff>129130</xdr:colOff>
      <xdr:row>21</xdr:row>
      <xdr:rowOff>114038</xdr:rowOff>
    </xdr:from>
    <xdr:to>
      <xdr:col>10</xdr:col>
      <xdr:colOff>132342</xdr:colOff>
      <xdr:row>28</xdr:row>
      <xdr:rowOff>96222</xdr:rowOff>
    </xdr:to>
    <xdr:pic>
      <xdr:nvPicPr>
        <xdr:cNvPr id="12" name="Graphic 11" descr="Customer review with solid fill">
          <a:extLst>
            <a:ext uri="{FF2B5EF4-FFF2-40B4-BE49-F238E27FC236}">
              <a16:creationId xmlns:a16="http://schemas.microsoft.com/office/drawing/2014/main" id="{3DB2B6AD-2121-47F6-86DB-98D67BDBDB5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005930" y="3954518"/>
          <a:ext cx="1222412" cy="1262344"/>
        </a:xfrm>
        <a:prstGeom prst="rect">
          <a:avLst/>
        </a:prstGeom>
      </xdr:spPr>
    </xdr:pic>
    <xdr:clientData/>
  </xdr:twoCellAnchor>
  <xdr:twoCellAnchor editAs="oneCell">
    <xdr:from>
      <xdr:col>4</xdr:col>
      <xdr:colOff>427142</xdr:colOff>
      <xdr:row>30</xdr:row>
      <xdr:rowOff>88685</xdr:rowOff>
    </xdr:from>
    <xdr:to>
      <xdr:col>6</xdr:col>
      <xdr:colOff>112853</xdr:colOff>
      <xdr:row>35</xdr:row>
      <xdr:rowOff>108757</xdr:rowOff>
    </xdr:to>
    <xdr:pic>
      <xdr:nvPicPr>
        <xdr:cNvPr id="13" name="Graphic 12" descr="Target with solid fill">
          <a:extLst>
            <a:ext uri="{FF2B5EF4-FFF2-40B4-BE49-F238E27FC236}">
              <a16:creationId xmlns:a16="http://schemas.microsoft.com/office/drawing/2014/main" id="{6077A2AC-7004-4FD5-AD39-83AD88A75D8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865542" y="5575085"/>
          <a:ext cx="904911" cy="934472"/>
        </a:xfrm>
        <a:prstGeom prst="rect">
          <a:avLst/>
        </a:prstGeom>
      </xdr:spPr>
    </xdr:pic>
    <xdr:clientData/>
  </xdr:twoCellAnchor>
  <xdr:twoCellAnchor editAs="oneCell">
    <xdr:from>
      <xdr:col>1</xdr:col>
      <xdr:colOff>151830</xdr:colOff>
      <xdr:row>34</xdr:row>
      <xdr:rowOff>150040</xdr:rowOff>
    </xdr:from>
    <xdr:to>
      <xdr:col>2</xdr:col>
      <xdr:colOff>438297</xdr:colOff>
      <xdr:row>39</xdr:row>
      <xdr:rowOff>170112</xdr:rowOff>
    </xdr:to>
    <xdr:pic>
      <xdr:nvPicPr>
        <xdr:cNvPr id="14" name="Graphic 13" descr="Arrow: Counter-clockwise curve with solid fill">
          <a:extLst>
            <a:ext uri="{FF2B5EF4-FFF2-40B4-BE49-F238E27FC236}">
              <a16:creationId xmlns:a16="http://schemas.microsoft.com/office/drawing/2014/main" id="{4456190B-082A-4EC3-A7AD-2646F0F1F5D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61430" y="6367960"/>
          <a:ext cx="896067" cy="934472"/>
        </a:xfrm>
        <a:prstGeom prst="rect">
          <a:avLst/>
        </a:prstGeom>
      </xdr:spPr>
    </xdr:pic>
    <xdr:clientData/>
  </xdr:twoCellAnchor>
  <xdr:twoCellAnchor editAs="oneCell">
    <xdr:from>
      <xdr:col>1</xdr:col>
      <xdr:colOff>284159</xdr:colOff>
      <xdr:row>24</xdr:row>
      <xdr:rowOff>7343</xdr:rowOff>
    </xdr:from>
    <xdr:to>
      <xdr:col>3</xdr:col>
      <xdr:colOff>287369</xdr:colOff>
      <xdr:row>30</xdr:row>
      <xdr:rowOff>172407</xdr:rowOff>
    </xdr:to>
    <xdr:pic>
      <xdr:nvPicPr>
        <xdr:cNvPr id="15" name="Graphic 14" descr="Arrow: Rotate left with solid fill">
          <a:extLst>
            <a:ext uri="{FF2B5EF4-FFF2-40B4-BE49-F238E27FC236}">
              <a16:creationId xmlns:a16="http://schemas.microsoft.com/office/drawing/2014/main" id="{865FE4E2-8E72-4A69-9125-AE87970E5631}"/>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93759" y="4396463"/>
          <a:ext cx="1222410" cy="1262344"/>
        </a:xfrm>
        <a:prstGeom prst="rect">
          <a:avLst/>
        </a:prstGeom>
      </xdr:spPr>
    </xdr:pic>
    <xdr:clientData/>
  </xdr:twoCellAnchor>
  <xdr:twoCellAnchor editAs="oneCell">
    <xdr:from>
      <xdr:col>0</xdr:col>
      <xdr:colOff>0</xdr:colOff>
      <xdr:row>27</xdr:row>
      <xdr:rowOff>100808</xdr:rowOff>
    </xdr:from>
    <xdr:to>
      <xdr:col>1</xdr:col>
      <xdr:colOff>599994</xdr:colOff>
      <xdr:row>34</xdr:row>
      <xdr:rowOff>88416</xdr:rowOff>
    </xdr:to>
    <xdr:pic>
      <xdr:nvPicPr>
        <xdr:cNvPr id="16" name="Graphic 15" descr="Arrow: Rotate right with solid fill">
          <a:extLst>
            <a:ext uri="{FF2B5EF4-FFF2-40B4-BE49-F238E27FC236}">
              <a16:creationId xmlns:a16="http://schemas.microsoft.com/office/drawing/2014/main" id="{1CEEEB14-8F45-4C65-AFCF-498491C33396}"/>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0" y="5038568"/>
          <a:ext cx="1209594" cy="1267768"/>
        </a:xfrm>
        <a:prstGeom prst="rect">
          <a:avLst/>
        </a:prstGeom>
      </xdr:spPr>
    </xdr:pic>
    <xdr:clientData/>
  </xdr:twoCellAnchor>
  <xdr:twoCellAnchor editAs="oneCell">
    <xdr:from>
      <xdr:col>2</xdr:col>
      <xdr:colOff>501152</xdr:colOff>
      <xdr:row>36</xdr:row>
      <xdr:rowOff>109808</xdr:rowOff>
    </xdr:from>
    <xdr:to>
      <xdr:col>4</xdr:col>
      <xdr:colOff>186864</xdr:colOff>
      <xdr:row>41</xdr:row>
      <xdr:rowOff>129879</xdr:rowOff>
    </xdr:to>
    <xdr:pic>
      <xdr:nvPicPr>
        <xdr:cNvPr id="17" name="Graphic 16" descr="Arrow: Slight curve with solid fill">
          <a:extLst>
            <a:ext uri="{FF2B5EF4-FFF2-40B4-BE49-F238E27FC236}">
              <a16:creationId xmlns:a16="http://schemas.microsoft.com/office/drawing/2014/main" id="{E2C2D839-51B5-494D-BA35-9FA08073842E}"/>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720352" y="6693488"/>
          <a:ext cx="904912" cy="934471"/>
        </a:xfrm>
        <a:prstGeom prst="rect">
          <a:avLst/>
        </a:prstGeom>
      </xdr:spPr>
    </xdr:pic>
    <xdr:clientData/>
  </xdr:twoCellAnchor>
  <xdr:twoCellAnchor editAs="oneCell">
    <xdr:from>
      <xdr:col>6</xdr:col>
      <xdr:colOff>421887</xdr:colOff>
      <xdr:row>40</xdr:row>
      <xdr:rowOff>52848</xdr:rowOff>
    </xdr:from>
    <xdr:to>
      <xdr:col>8</xdr:col>
      <xdr:colOff>98110</xdr:colOff>
      <xdr:row>45</xdr:row>
      <xdr:rowOff>72919</xdr:rowOff>
    </xdr:to>
    <xdr:pic>
      <xdr:nvPicPr>
        <xdr:cNvPr id="18" name="Graphic 17" descr="Arrow: Straight with solid fill">
          <a:extLst>
            <a:ext uri="{FF2B5EF4-FFF2-40B4-BE49-F238E27FC236}">
              <a16:creationId xmlns:a16="http://schemas.microsoft.com/office/drawing/2014/main" id="{4E66FBFE-0B61-4EBF-B145-79C5AB110AFE}"/>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4079487" y="7368048"/>
          <a:ext cx="895423" cy="934471"/>
        </a:xfrm>
        <a:prstGeom prst="rect">
          <a:avLst/>
        </a:prstGeom>
      </xdr:spPr>
    </xdr:pic>
    <xdr:clientData/>
  </xdr:twoCellAnchor>
  <xdr:twoCellAnchor editAs="oneCell">
    <xdr:from>
      <xdr:col>4</xdr:col>
      <xdr:colOff>427142</xdr:colOff>
      <xdr:row>38</xdr:row>
      <xdr:rowOff>93079</xdr:rowOff>
    </xdr:from>
    <xdr:to>
      <xdr:col>6</xdr:col>
      <xdr:colOff>112854</xdr:colOff>
      <xdr:row>43</xdr:row>
      <xdr:rowOff>117165</xdr:rowOff>
    </xdr:to>
    <xdr:pic>
      <xdr:nvPicPr>
        <xdr:cNvPr id="19" name="Graphic 18" descr="Right pointing backhand index with solid fill">
          <a:extLst>
            <a:ext uri="{FF2B5EF4-FFF2-40B4-BE49-F238E27FC236}">
              <a16:creationId xmlns:a16="http://schemas.microsoft.com/office/drawing/2014/main" id="{A6BDE64E-01A5-49D6-9704-EFDC8C255B52}"/>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2865542" y="7042519"/>
          <a:ext cx="904912" cy="938486"/>
        </a:xfrm>
        <a:prstGeom prst="rect">
          <a:avLst/>
        </a:prstGeom>
      </xdr:spPr>
    </xdr:pic>
    <xdr:clientData/>
  </xdr:twoCellAnchor>
  <xdr:twoCellAnchor editAs="oneCell">
    <xdr:from>
      <xdr:col>9</xdr:col>
      <xdr:colOff>282625</xdr:colOff>
      <xdr:row>42</xdr:row>
      <xdr:rowOff>116114</xdr:rowOff>
    </xdr:from>
    <xdr:to>
      <xdr:col>10</xdr:col>
      <xdr:colOff>577936</xdr:colOff>
      <xdr:row>47</xdr:row>
      <xdr:rowOff>136186</xdr:rowOff>
    </xdr:to>
    <xdr:pic>
      <xdr:nvPicPr>
        <xdr:cNvPr id="20" name="Graphic 19" descr="Blind with solid fill">
          <a:extLst>
            <a:ext uri="{FF2B5EF4-FFF2-40B4-BE49-F238E27FC236}">
              <a16:creationId xmlns:a16="http://schemas.microsoft.com/office/drawing/2014/main" id="{744C3C40-50E6-4041-9967-F84F1CB0DE4E}"/>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5769025" y="7797074"/>
          <a:ext cx="904911" cy="934472"/>
        </a:xfrm>
        <a:prstGeom prst="rect">
          <a:avLst/>
        </a:prstGeom>
      </xdr:spPr>
    </xdr:pic>
    <xdr:clientData/>
  </xdr:twoCellAnchor>
  <xdr:twoCellAnchor editAs="oneCell">
    <xdr:from>
      <xdr:col>11</xdr:col>
      <xdr:colOff>400804</xdr:colOff>
      <xdr:row>40</xdr:row>
      <xdr:rowOff>99195</xdr:rowOff>
    </xdr:from>
    <xdr:to>
      <xdr:col>13</xdr:col>
      <xdr:colOff>77673</xdr:colOff>
      <xdr:row>45</xdr:row>
      <xdr:rowOff>119267</xdr:rowOff>
    </xdr:to>
    <xdr:pic>
      <xdr:nvPicPr>
        <xdr:cNvPr id="21" name="Graphic 20" descr="Speaker phone with solid fill">
          <a:extLst>
            <a:ext uri="{FF2B5EF4-FFF2-40B4-BE49-F238E27FC236}">
              <a16:creationId xmlns:a16="http://schemas.microsoft.com/office/drawing/2014/main" id="{8684AC8C-75A9-4C67-BC77-DDC4426E69AE}"/>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7106404" y="7414395"/>
          <a:ext cx="896069" cy="934472"/>
        </a:xfrm>
        <a:prstGeom prst="rect">
          <a:avLst/>
        </a:prstGeom>
      </xdr:spPr>
    </xdr:pic>
    <xdr:clientData/>
  </xdr:twoCellAnchor>
  <xdr:twoCellAnchor editAs="oneCell">
    <xdr:from>
      <xdr:col>7</xdr:col>
      <xdr:colOff>597643</xdr:colOff>
      <xdr:row>42</xdr:row>
      <xdr:rowOff>116114</xdr:rowOff>
    </xdr:from>
    <xdr:to>
      <xdr:col>9</xdr:col>
      <xdr:colOff>282625</xdr:colOff>
      <xdr:row>47</xdr:row>
      <xdr:rowOff>136186</xdr:rowOff>
    </xdr:to>
    <xdr:pic>
      <xdr:nvPicPr>
        <xdr:cNvPr id="22" name="Graphic 21" descr="Lock with solid fill">
          <a:extLst>
            <a:ext uri="{FF2B5EF4-FFF2-40B4-BE49-F238E27FC236}">
              <a16:creationId xmlns:a16="http://schemas.microsoft.com/office/drawing/2014/main" id="{067AAB83-EFF3-4AAC-AD36-AFE78D32F97F}"/>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4864843" y="7797074"/>
          <a:ext cx="904182" cy="934472"/>
        </a:xfrm>
        <a:prstGeom prst="rect">
          <a:avLst/>
        </a:prstGeom>
      </xdr:spPr>
    </xdr:pic>
    <xdr:clientData/>
  </xdr:twoCellAnchor>
  <xdr:twoCellAnchor editAs="oneCell">
    <xdr:from>
      <xdr:col>8</xdr:col>
      <xdr:colOff>393128</xdr:colOff>
      <xdr:row>27</xdr:row>
      <xdr:rowOff>120344</xdr:rowOff>
    </xdr:from>
    <xdr:to>
      <xdr:col>10</xdr:col>
      <xdr:colOff>396340</xdr:colOff>
      <xdr:row>34</xdr:row>
      <xdr:rowOff>102528</xdr:rowOff>
    </xdr:to>
    <xdr:pic>
      <xdr:nvPicPr>
        <xdr:cNvPr id="23" name="Graphic 22" descr="Handshake with solid fill">
          <a:extLst>
            <a:ext uri="{FF2B5EF4-FFF2-40B4-BE49-F238E27FC236}">
              <a16:creationId xmlns:a16="http://schemas.microsoft.com/office/drawing/2014/main" id="{A3D274CE-DA8E-472B-963A-EC3FA734F371}"/>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5269928" y="5058104"/>
          <a:ext cx="1222412" cy="1262344"/>
        </a:xfrm>
        <a:prstGeom prst="rect">
          <a:avLst/>
        </a:prstGeom>
      </xdr:spPr>
    </xdr:pic>
    <xdr:clientData/>
  </xdr:twoCellAnchor>
  <xdr:twoCellAnchor editAs="oneCell">
    <xdr:from>
      <xdr:col>12</xdr:col>
      <xdr:colOff>129260</xdr:colOff>
      <xdr:row>28</xdr:row>
      <xdr:rowOff>121394</xdr:rowOff>
    </xdr:from>
    <xdr:to>
      <xdr:col>14</xdr:col>
      <xdr:colOff>119654</xdr:colOff>
      <xdr:row>35</xdr:row>
      <xdr:rowOff>103580</xdr:rowOff>
    </xdr:to>
    <xdr:pic>
      <xdr:nvPicPr>
        <xdr:cNvPr id="24" name="Graphic 23" descr="Person with idea with solid fill">
          <a:extLst>
            <a:ext uri="{FF2B5EF4-FFF2-40B4-BE49-F238E27FC236}">
              <a16:creationId xmlns:a16="http://schemas.microsoft.com/office/drawing/2014/main" id="{F481CAB0-5BCC-4FF3-9584-2FC2760EDB90}"/>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7444460" y="5242034"/>
          <a:ext cx="1209594" cy="1262346"/>
        </a:xfrm>
        <a:prstGeom prst="rect">
          <a:avLst/>
        </a:prstGeom>
      </xdr:spPr>
    </xdr:pic>
    <xdr:clientData/>
  </xdr:twoCellAnchor>
  <xdr:twoCellAnchor editAs="oneCell">
    <xdr:from>
      <xdr:col>10</xdr:col>
      <xdr:colOff>475299</xdr:colOff>
      <xdr:row>28</xdr:row>
      <xdr:rowOff>121394</xdr:rowOff>
    </xdr:from>
    <xdr:to>
      <xdr:col>12</xdr:col>
      <xdr:colOff>465693</xdr:colOff>
      <xdr:row>35</xdr:row>
      <xdr:rowOff>103580</xdr:rowOff>
    </xdr:to>
    <xdr:pic>
      <xdr:nvPicPr>
        <xdr:cNvPr id="25" name="Graphic 24" descr="Questions with solid fill">
          <a:extLst>
            <a:ext uri="{FF2B5EF4-FFF2-40B4-BE49-F238E27FC236}">
              <a16:creationId xmlns:a16="http://schemas.microsoft.com/office/drawing/2014/main" id="{8529756F-0536-4465-AA14-6A7FB4C55FA2}"/>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6571299" y="5242034"/>
          <a:ext cx="1209594" cy="1262346"/>
        </a:xfrm>
        <a:prstGeom prst="rect">
          <a:avLst/>
        </a:prstGeom>
      </xdr:spPr>
    </xdr:pic>
    <xdr:clientData/>
  </xdr:twoCellAnchor>
  <xdr:twoCellAnchor editAs="oneCell">
    <xdr:from>
      <xdr:col>12</xdr:col>
      <xdr:colOff>149858</xdr:colOff>
      <xdr:row>22</xdr:row>
      <xdr:rowOff>95534</xdr:rowOff>
    </xdr:from>
    <xdr:to>
      <xdr:col>14</xdr:col>
      <xdr:colOff>153068</xdr:colOff>
      <xdr:row>29</xdr:row>
      <xdr:rowOff>83292</xdr:rowOff>
    </xdr:to>
    <xdr:pic>
      <xdr:nvPicPr>
        <xdr:cNvPr id="26" name="Graphic 25" descr="Target Audience with solid fill">
          <a:extLst>
            <a:ext uri="{FF2B5EF4-FFF2-40B4-BE49-F238E27FC236}">
              <a16:creationId xmlns:a16="http://schemas.microsoft.com/office/drawing/2014/main" id="{7CA70074-C1B4-4C9F-9CE1-F08737BF8A98}"/>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7465058" y="4118894"/>
          <a:ext cx="1222410" cy="1267918"/>
        </a:xfrm>
        <a:prstGeom prst="rect">
          <a:avLst/>
        </a:prstGeom>
      </xdr:spPr>
    </xdr:pic>
    <xdr:clientData/>
  </xdr:twoCellAnchor>
  <xdr:twoCellAnchor editAs="oneCell">
    <xdr:from>
      <xdr:col>15</xdr:col>
      <xdr:colOff>53410</xdr:colOff>
      <xdr:row>13</xdr:row>
      <xdr:rowOff>118505</xdr:rowOff>
    </xdr:from>
    <xdr:to>
      <xdr:col>17</xdr:col>
      <xdr:colOff>56622</xdr:colOff>
      <xdr:row>20</xdr:row>
      <xdr:rowOff>100689</xdr:rowOff>
    </xdr:to>
    <xdr:pic>
      <xdr:nvPicPr>
        <xdr:cNvPr id="27" name="Graphic 26" descr="Presentation with bar chart with solid fill">
          <a:extLst>
            <a:ext uri="{FF2B5EF4-FFF2-40B4-BE49-F238E27FC236}">
              <a16:creationId xmlns:a16="http://schemas.microsoft.com/office/drawing/2014/main" id="{F55954ED-1C9A-4F36-8904-D494D1C03328}"/>
            </a:ext>
          </a:extLst>
        </xdr:cNvPr>
        <xdr:cNvPicPr>
          <a:picLocks noChangeAspect="1"/>
        </xdr:cNvPicPr>
      </xdr:nvPicPr>
      <xdr:blipFill>
        <a:blip xmlns:r="http://schemas.openxmlformats.org/officeDocument/2006/relationships" r:embed="rId51">
          <a:extLst>
            <a:ext uri="{96DAC541-7B7A-43D3-8B79-37D633B846F1}">
              <asvg:svgBlip xmlns:asvg="http://schemas.microsoft.com/office/drawing/2016/SVG/main" r:embed="rId52"/>
            </a:ext>
          </a:extLst>
        </a:blip>
        <a:stretch>
          <a:fillRect/>
        </a:stretch>
      </xdr:blipFill>
      <xdr:spPr>
        <a:xfrm>
          <a:off x="9197410" y="2495945"/>
          <a:ext cx="1222412" cy="1262344"/>
        </a:xfrm>
        <a:prstGeom prst="rect">
          <a:avLst/>
        </a:prstGeom>
      </xdr:spPr>
    </xdr:pic>
    <xdr:clientData/>
  </xdr:twoCellAnchor>
  <xdr:twoCellAnchor editAs="oneCell">
    <xdr:from>
      <xdr:col>13</xdr:col>
      <xdr:colOff>144602</xdr:colOff>
      <xdr:row>18</xdr:row>
      <xdr:rowOff>91350</xdr:rowOff>
    </xdr:from>
    <xdr:to>
      <xdr:col>15</xdr:col>
      <xdr:colOff>147814</xdr:colOff>
      <xdr:row>25</xdr:row>
      <xdr:rowOff>78956</xdr:rowOff>
    </xdr:to>
    <xdr:pic>
      <xdr:nvPicPr>
        <xdr:cNvPr id="28" name="Graphic 27" descr="Presentation with bar chart with solid fill">
          <a:extLst>
            <a:ext uri="{FF2B5EF4-FFF2-40B4-BE49-F238E27FC236}">
              <a16:creationId xmlns:a16="http://schemas.microsoft.com/office/drawing/2014/main" id="{D1ABE95C-04E5-4E9C-98A7-C72335BF5674}"/>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8069402" y="3383190"/>
          <a:ext cx="1222412" cy="1267766"/>
        </a:xfrm>
        <a:prstGeom prst="rect">
          <a:avLst/>
        </a:prstGeom>
      </xdr:spPr>
    </xdr:pic>
    <xdr:clientData/>
  </xdr:twoCellAnchor>
  <xdr:twoCellAnchor editAs="oneCell">
    <xdr:from>
      <xdr:col>13</xdr:col>
      <xdr:colOff>16339</xdr:colOff>
      <xdr:row>10</xdr:row>
      <xdr:rowOff>78145</xdr:rowOff>
    </xdr:from>
    <xdr:to>
      <xdr:col>15</xdr:col>
      <xdr:colOff>6733</xdr:colOff>
      <xdr:row>17</xdr:row>
      <xdr:rowOff>60331</xdr:rowOff>
    </xdr:to>
    <xdr:pic>
      <xdr:nvPicPr>
        <xdr:cNvPr id="29" name="Graphic 28" descr="Building with solid fill">
          <a:extLst>
            <a:ext uri="{FF2B5EF4-FFF2-40B4-BE49-F238E27FC236}">
              <a16:creationId xmlns:a16="http://schemas.microsoft.com/office/drawing/2014/main" id="{6A26A135-CE2D-4BBD-B98F-6896D0B529BA}"/>
            </a:ext>
          </a:extLst>
        </xdr:cNvPr>
        <xdr:cNvPicPr>
          <a:picLocks noChangeAspect="1"/>
        </xdr:cNvPicPr>
      </xdr:nvPicPr>
      <xdr:blipFill>
        <a:blip xmlns:r="http://schemas.openxmlformats.org/officeDocument/2006/relationships" r:embed="rId55">
          <a:extLst>
            <a:ext uri="{96DAC541-7B7A-43D3-8B79-37D633B846F1}">
              <asvg:svgBlip xmlns:asvg="http://schemas.microsoft.com/office/drawing/2016/SVG/main" r:embed="rId56"/>
            </a:ext>
          </a:extLst>
        </a:blip>
        <a:stretch>
          <a:fillRect/>
        </a:stretch>
      </xdr:blipFill>
      <xdr:spPr>
        <a:xfrm>
          <a:off x="7941139" y="1906945"/>
          <a:ext cx="1209594" cy="1262346"/>
        </a:xfrm>
        <a:prstGeom prst="rect">
          <a:avLst/>
        </a:prstGeom>
      </xdr:spPr>
    </xdr:pic>
    <xdr:clientData/>
  </xdr:twoCellAnchor>
  <xdr:twoCellAnchor editAs="oneCell">
    <xdr:from>
      <xdr:col>16</xdr:col>
      <xdr:colOff>352707</xdr:colOff>
      <xdr:row>17</xdr:row>
      <xdr:rowOff>961</xdr:rowOff>
    </xdr:from>
    <xdr:to>
      <xdr:col>18</xdr:col>
      <xdr:colOff>355919</xdr:colOff>
      <xdr:row>23</xdr:row>
      <xdr:rowOff>171447</xdr:rowOff>
    </xdr:to>
    <xdr:pic>
      <xdr:nvPicPr>
        <xdr:cNvPr id="30" name="Graphic 29" descr="Presentation with bar chart with solid fill">
          <a:extLst>
            <a:ext uri="{FF2B5EF4-FFF2-40B4-BE49-F238E27FC236}">
              <a16:creationId xmlns:a16="http://schemas.microsoft.com/office/drawing/2014/main" id="{ECC0BFC5-B86A-462E-92BD-88311308F523}"/>
            </a:ext>
          </a:extLst>
        </xdr:cNvPr>
        <xdr:cNvPicPr>
          <a:picLocks noChangeAspect="1"/>
        </xdr:cNvPicPr>
      </xdr:nvPicPr>
      <xdr:blipFill>
        <a:blip xmlns:r="http://schemas.openxmlformats.org/officeDocument/2006/relationships" r:embed="rId53">
          <a:extLst>
            <a:ext uri="{96DAC541-7B7A-43D3-8B79-37D633B846F1}">
              <asvg:svgBlip xmlns:asvg="http://schemas.microsoft.com/office/drawing/2016/SVG/main" r:embed="rId54"/>
            </a:ext>
          </a:extLst>
        </a:blip>
        <a:stretch>
          <a:fillRect/>
        </a:stretch>
      </xdr:blipFill>
      <xdr:spPr>
        <a:xfrm>
          <a:off x="10106307" y="3109921"/>
          <a:ext cx="1222412" cy="1267766"/>
        </a:xfrm>
        <a:prstGeom prst="rect">
          <a:avLst/>
        </a:prstGeom>
      </xdr:spPr>
    </xdr:pic>
    <xdr:clientData/>
  </xdr:twoCellAnchor>
  <xdr:twoCellAnchor editAs="oneCell">
    <xdr:from>
      <xdr:col>10</xdr:col>
      <xdr:colOff>601453</xdr:colOff>
      <xdr:row>7</xdr:row>
      <xdr:rowOff>40110</xdr:rowOff>
    </xdr:from>
    <xdr:to>
      <xdr:col>12</xdr:col>
      <xdr:colOff>591847</xdr:colOff>
      <xdr:row>14</xdr:row>
      <xdr:rowOff>27718</xdr:rowOff>
    </xdr:to>
    <xdr:pic>
      <xdr:nvPicPr>
        <xdr:cNvPr id="31" name="Graphic 30" descr="Bar graph with downward trend with solid fill">
          <a:extLst>
            <a:ext uri="{FF2B5EF4-FFF2-40B4-BE49-F238E27FC236}">
              <a16:creationId xmlns:a16="http://schemas.microsoft.com/office/drawing/2014/main" id="{F485B626-F00E-476E-BEE0-6EEEF8CDE788}"/>
            </a:ext>
          </a:extLst>
        </xdr:cNvPr>
        <xdr:cNvPicPr>
          <a:picLocks noChangeAspect="1"/>
        </xdr:cNvPicPr>
      </xdr:nvPicPr>
      <xdr:blipFill>
        <a:blip xmlns:r="http://schemas.openxmlformats.org/officeDocument/2006/relationships" r:embed="rId57">
          <a:extLst>
            <a:ext uri="{96DAC541-7B7A-43D3-8B79-37D633B846F1}">
              <asvg:svgBlip xmlns:asvg="http://schemas.microsoft.com/office/drawing/2016/SVG/main" r:embed="rId58"/>
            </a:ext>
          </a:extLst>
        </a:blip>
        <a:stretch>
          <a:fillRect/>
        </a:stretch>
      </xdr:blipFill>
      <xdr:spPr>
        <a:xfrm>
          <a:off x="6697453" y="1320270"/>
          <a:ext cx="1209594" cy="1267768"/>
        </a:xfrm>
        <a:prstGeom prst="rect">
          <a:avLst/>
        </a:prstGeom>
      </xdr:spPr>
    </xdr:pic>
    <xdr:clientData/>
  </xdr:twoCellAnchor>
  <xdr:twoCellAnchor editAs="oneCell">
    <xdr:from>
      <xdr:col>6</xdr:col>
      <xdr:colOff>309383</xdr:colOff>
      <xdr:row>4</xdr:row>
      <xdr:rowOff>172895</xdr:rowOff>
    </xdr:from>
    <xdr:to>
      <xdr:col>8</xdr:col>
      <xdr:colOff>312593</xdr:colOff>
      <xdr:row>11</xdr:row>
      <xdr:rowOff>155079</xdr:rowOff>
    </xdr:to>
    <xdr:pic>
      <xdr:nvPicPr>
        <xdr:cNvPr id="32" name="Graphic 31" descr="Bar graph with downward trend with solid fill">
          <a:extLst>
            <a:ext uri="{FF2B5EF4-FFF2-40B4-BE49-F238E27FC236}">
              <a16:creationId xmlns:a16="http://schemas.microsoft.com/office/drawing/2014/main" id="{71FC8DB5-2266-4B62-AF69-EE4BDABF0E57}"/>
            </a:ext>
          </a:extLst>
        </xdr:cNvPr>
        <xdr:cNvPicPr>
          <a:picLocks noChangeAspect="1"/>
        </xdr:cNvPicPr>
      </xdr:nvPicPr>
      <xdr:blipFill>
        <a:blip xmlns:r="http://schemas.openxmlformats.org/officeDocument/2006/relationships" r:embed="rId59">
          <a:extLst>
            <a:ext uri="{96DAC541-7B7A-43D3-8B79-37D633B846F1}">
              <asvg:svgBlip xmlns:asvg="http://schemas.microsoft.com/office/drawing/2016/SVG/main" r:embed="rId60"/>
            </a:ext>
          </a:extLst>
        </a:blip>
        <a:stretch>
          <a:fillRect/>
        </a:stretch>
      </xdr:blipFill>
      <xdr:spPr>
        <a:xfrm>
          <a:off x="3966983" y="904415"/>
          <a:ext cx="1222410" cy="1262344"/>
        </a:xfrm>
        <a:prstGeom prst="rect">
          <a:avLst/>
        </a:prstGeom>
      </xdr:spPr>
    </xdr:pic>
    <xdr:clientData/>
  </xdr:twoCellAnchor>
  <xdr:twoCellAnchor editAs="oneCell">
    <xdr:from>
      <xdr:col>6</xdr:col>
      <xdr:colOff>203725</xdr:colOff>
      <xdr:row>11</xdr:row>
      <xdr:rowOff>31677</xdr:rowOff>
    </xdr:from>
    <xdr:to>
      <xdr:col>8</xdr:col>
      <xdr:colOff>206935</xdr:colOff>
      <xdr:row>18</xdr:row>
      <xdr:rowOff>13861</xdr:rowOff>
    </xdr:to>
    <xdr:pic>
      <xdr:nvPicPr>
        <xdr:cNvPr id="33" name="Graphic 32" descr="Bar graph with upward trend with solid fill">
          <a:extLst>
            <a:ext uri="{FF2B5EF4-FFF2-40B4-BE49-F238E27FC236}">
              <a16:creationId xmlns:a16="http://schemas.microsoft.com/office/drawing/2014/main" id="{B348A37E-92C1-412C-BA35-605510FD89B6}"/>
            </a:ext>
          </a:extLst>
        </xdr:cNvPr>
        <xdr:cNvPicPr>
          <a:picLocks noChangeAspect="1"/>
        </xdr:cNvPicPr>
      </xdr:nvPicPr>
      <xdr:blipFill>
        <a:blip xmlns:r="http://schemas.openxmlformats.org/officeDocument/2006/relationships" r:embed="rId61">
          <a:extLst>
            <a:ext uri="{96DAC541-7B7A-43D3-8B79-37D633B846F1}">
              <asvg:svgBlip xmlns:asvg="http://schemas.microsoft.com/office/drawing/2016/SVG/main" r:embed="rId62"/>
            </a:ext>
          </a:extLst>
        </a:blip>
        <a:stretch>
          <a:fillRect/>
        </a:stretch>
      </xdr:blipFill>
      <xdr:spPr>
        <a:xfrm>
          <a:off x="3861325" y="2043357"/>
          <a:ext cx="1222410" cy="1262344"/>
        </a:xfrm>
        <a:prstGeom prst="rect">
          <a:avLst/>
        </a:prstGeom>
      </xdr:spPr>
    </xdr:pic>
    <xdr:clientData/>
  </xdr:twoCellAnchor>
  <xdr:twoCellAnchor editAs="oneCell">
    <xdr:from>
      <xdr:col>10</xdr:col>
      <xdr:colOff>402516</xdr:colOff>
      <xdr:row>0</xdr:row>
      <xdr:rowOff>144138</xdr:rowOff>
    </xdr:from>
    <xdr:to>
      <xdr:col>12</xdr:col>
      <xdr:colOff>405726</xdr:colOff>
      <xdr:row>7</xdr:row>
      <xdr:rowOff>126322</xdr:rowOff>
    </xdr:to>
    <xdr:pic>
      <xdr:nvPicPr>
        <xdr:cNvPr id="34" name="Graphic 33" descr="Bar graph with upward trend with solid fill">
          <a:extLst>
            <a:ext uri="{FF2B5EF4-FFF2-40B4-BE49-F238E27FC236}">
              <a16:creationId xmlns:a16="http://schemas.microsoft.com/office/drawing/2014/main" id="{740A1E0E-C399-4FE2-BEA2-C241BD6E114F}"/>
            </a:ext>
          </a:extLst>
        </xdr:cNvPr>
        <xdr:cNvPicPr>
          <a:picLocks noChangeAspect="1"/>
        </xdr:cNvPicPr>
      </xdr:nvPicPr>
      <xdr:blipFill>
        <a:blip xmlns:r="http://schemas.openxmlformats.org/officeDocument/2006/relationships" r:embed="rId63">
          <a:extLst>
            <a:ext uri="{96DAC541-7B7A-43D3-8B79-37D633B846F1}">
              <asvg:svgBlip xmlns:asvg="http://schemas.microsoft.com/office/drawing/2016/SVG/main" r:embed="rId64"/>
            </a:ext>
          </a:extLst>
        </a:blip>
        <a:stretch>
          <a:fillRect/>
        </a:stretch>
      </xdr:blipFill>
      <xdr:spPr>
        <a:xfrm>
          <a:off x="6498516" y="144138"/>
          <a:ext cx="1222410" cy="1262344"/>
        </a:xfrm>
        <a:prstGeom prst="rect">
          <a:avLst/>
        </a:prstGeom>
      </xdr:spPr>
    </xdr:pic>
    <xdr:clientData/>
  </xdr:twoCellAnchor>
  <xdr:twoCellAnchor editAs="oneCell">
    <xdr:from>
      <xdr:col>13</xdr:col>
      <xdr:colOff>390312</xdr:colOff>
      <xdr:row>1</xdr:row>
      <xdr:rowOff>152400</xdr:rowOff>
    </xdr:from>
    <xdr:to>
      <xdr:col>15</xdr:col>
      <xdr:colOff>393522</xdr:colOff>
      <xdr:row>8</xdr:row>
      <xdr:rowOff>134584</xdr:rowOff>
    </xdr:to>
    <xdr:pic>
      <xdr:nvPicPr>
        <xdr:cNvPr id="35" name="Graphic 34" descr="City with solid fill">
          <a:extLst>
            <a:ext uri="{FF2B5EF4-FFF2-40B4-BE49-F238E27FC236}">
              <a16:creationId xmlns:a16="http://schemas.microsoft.com/office/drawing/2014/main" id="{4CEB080E-10B3-49A4-B77C-F096B6EF0C10}"/>
            </a:ext>
          </a:extLst>
        </xdr:cNvPr>
        <xdr:cNvPicPr>
          <a:picLocks noChangeAspect="1"/>
        </xdr:cNvPicPr>
      </xdr:nvPicPr>
      <xdr:blipFill>
        <a:blip xmlns:r="http://schemas.openxmlformats.org/officeDocument/2006/relationships" r:embed="rId65">
          <a:extLst>
            <a:ext uri="{96DAC541-7B7A-43D3-8B79-37D633B846F1}">
              <asvg:svgBlip xmlns:asvg="http://schemas.microsoft.com/office/drawing/2016/SVG/main" r:embed="rId66"/>
            </a:ext>
          </a:extLst>
        </a:blip>
        <a:stretch>
          <a:fillRect/>
        </a:stretch>
      </xdr:blipFill>
      <xdr:spPr>
        <a:xfrm>
          <a:off x="8315112" y="335280"/>
          <a:ext cx="1222410" cy="1262344"/>
        </a:xfrm>
        <a:prstGeom prst="rect">
          <a:avLst/>
        </a:prstGeom>
      </xdr:spPr>
    </xdr:pic>
    <xdr:clientData/>
  </xdr:twoCellAnchor>
  <xdr:twoCellAnchor editAs="oneCell">
    <xdr:from>
      <xdr:col>16</xdr:col>
      <xdr:colOff>272625</xdr:colOff>
      <xdr:row>3</xdr:row>
      <xdr:rowOff>167549</xdr:rowOff>
    </xdr:from>
    <xdr:to>
      <xdr:col>18</xdr:col>
      <xdr:colOff>275837</xdr:colOff>
      <xdr:row>10</xdr:row>
      <xdr:rowOff>155155</xdr:rowOff>
    </xdr:to>
    <xdr:pic>
      <xdr:nvPicPr>
        <xdr:cNvPr id="36" name="Graphic 35" descr="Bank with solid fill">
          <a:extLst>
            <a:ext uri="{FF2B5EF4-FFF2-40B4-BE49-F238E27FC236}">
              <a16:creationId xmlns:a16="http://schemas.microsoft.com/office/drawing/2014/main" id="{82405DB3-58AB-4422-B69A-10A96D317C1F}"/>
            </a:ext>
          </a:extLst>
        </xdr:cNvPr>
        <xdr:cNvPicPr>
          <a:picLocks noChangeAspect="1"/>
        </xdr:cNvPicPr>
      </xdr:nvPicPr>
      <xdr:blipFill>
        <a:blip xmlns:r="http://schemas.openxmlformats.org/officeDocument/2006/relationships" r:embed="rId67">
          <a:extLst>
            <a:ext uri="{96DAC541-7B7A-43D3-8B79-37D633B846F1}">
              <asvg:svgBlip xmlns:asvg="http://schemas.microsoft.com/office/drawing/2016/SVG/main" r:embed="rId68"/>
            </a:ext>
          </a:extLst>
        </a:blip>
        <a:stretch>
          <a:fillRect/>
        </a:stretch>
      </xdr:blipFill>
      <xdr:spPr>
        <a:xfrm>
          <a:off x="10026225" y="716189"/>
          <a:ext cx="1222412" cy="12677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Poojary" refreshedDate="46237.493464120373" createdVersion="8" refreshedVersion="8" minRefreshableVersion="3" recordCount="100" xr:uid="{4A6F961A-A9AB-4801-B6EC-5D5BA6295063}">
  <cacheSource type="worksheet">
    <worksheetSource ref="A1:P101" sheet="Retail_Orders"/>
  </cacheSource>
  <cacheFields count="16">
    <cacheField name="Order_ID" numFmtId="0">
      <sharedItems/>
    </cacheField>
    <cacheField name="Order_Date"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State" numFmtId="0">
      <sharedItems count="7">
        <s v="Rajasthan"/>
        <s v="Karnataka"/>
        <s v="Maharashtra"/>
        <s v="Telangana"/>
        <s v="Tamil Nadu"/>
        <s v="Delhi"/>
        <s v="West Bengal"/>
      </sharedItems>
    </cacheField>
    <cacheField name="Category" numFmtId="0">
      <sharedItems count="4">
        <s v="Groceries"/>
        <s v="Electronics"/>
        <s v="Fashion"/>
        <s v="Home"/>
      </sharedItems>
    </cacheField>
    <cacheField name="Product" numFmtId="0">
      <sharedItems count="20">
        <s v="Oil"/>
        <s v="Laptop"/>
        <s v="Headphones"/>
        <s v="T-Shirt"/>
        <s v="Coffee"/>
        <s v="Water Purifier"/>
        <s v="Rice"/>
        <s v="Smartphone"/>
        <s v="Jacket"/>
        <s v="Sugar"/>
        <s v="Fan"/>
        <s v="Handbag"/>
        <s v="Monitor"/>
        <s v="Mixer"/>
        <s v="Tea"/>
        <s v="Cookware"/>
        <s v="Smartwatch"/>
        <s v="Jeans"/>
        <s v="Shoes"/>
        <s v="Vacuum"/>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275" maxValue="9800"/>
    </cacheField>
    <cacheField name="Discount_%" numFmtId="0">
      <sharedItems containsSemiMixedTypes="0" containsString="0" containsNumber="1" containsInteger="1" minValue="5" maxValue="20" count="4">
        <n v="10"/>
        <n v="5"/>
        <n v="20"/>
        <n v="15"/>
      </sharedItems>
    </cacheField>
    <cacheField name="Sales" numFmtId="0">
      <sharedItems containsSemiMixedTypes="0" containsString="0" containsNumber="1" minValue="342" maxValue="33280" count="99">
        <n v="5625"/>
        <n v="3937.5"/>
        <n v="12596.4"/>
        <n v="7740"/>
        <n v="5699.05"/>
        <n v="5130"/>
        <n v="4992"/>
        <n v="23460"/>
        <n v="3608.1"/>
        <n v="14625"/>
        <n v="3420"/>
        <n v="12375"/>
        <n v="32640"/>
        <n v="6885"/>
        <n v="24990"/>
        <n v="4352"/>
        <n v="10800"/>
        <n v="20145"/>
        <n v="7875"/>
        <n v="18496"/>
        <n v="2090"/>
        <n v="617.5"/>
        <n v="22015"/>
        <n v="5688"/>
        <n v="22695"/>
        <n v="6272"/>
        <n v="33280"/>
        <n v="2517.5"/>
        <n v="16960"/>
        <n v="5057.5"/>
        <n v="2945"/>
        <n v="31360"/>
        <n v="8950.5"/>
        <n v="13685"/>
        <n v="22230"/>
        <n v="9280"/>
        <n v="6056.25"/>
        <n v="560.5"/>
        <n v="4488.75"/>
        <n v="8122.5"/>
        <n v="3363"/>
        <n v="23400"/>
        <n v="12480"/>
        <n v="21760"/>
        <n v="4640"/>
        <n v="18675"/>
        <n v="4845"/>
        <n v="9310"/>
        <n v="9520"/>
        <n v="2652"/>
        <n v="8265"/>
        <n v="9918"/>
        <n v="7599"/>
        <n v="24640"/>
        <n v="3136.5"/>
        <n v="12495"/>
        <n v="25875"/>
        <n v="8460"/>
        <n v="12967.5"/>
        <n v="8062.25"/>
        <n v="3544.5"/>
        <n v="3135"/>
        <n v="4712"/>
        <n v="484.5"/>
        <n v="3790.5"/>
        <n v="1237.5"/>
        <n v="31875"/>
        <n v="10560"/>
        <n v="16920"/>
        <n v="3222"/>
        <n v="8621.25"/>
        <n v="7420.5"/>
        <n v="27540"/>
        <n v="4161"/>
        <n v="3528"/>
        <n v="342"/>
        <n v="26592"/>
        <n v="14280"/>
        <n v="2664"/>
        <n v="30345"/>
        <n v="11264"/>
        <n v="2802.5"/>
        <n v="7169.75"/>
        <n v="3795.25"/>
        <n v="532"/>
        <n v="28857.5"/>
        <n v="13260"/>
        <n v="1254"/>
        <n v="6792.5"/>
        <n v="11007.5"/>
        <n v="13518"/>
        <n v="5890.5"/>
        <n v="1296.75"/>
        <n v="4000"/>
        <n v="24075"/>
        <n v="14726.25"/>
        <n v="8568"/>
        <n v="15444"/>
        <n v="4095"/>
      </sharedItems>
    </cacheField>
    <cacheField name="Profit" numFmtId="0">
      <sharedItems containsSemiMixedTypes="0" containsString="0" containsNumber="1" minValue="68.400000000000006" maxValue="6656" count="99">
        <n v="1125"/>
        <n v="787.5"/>
        <n v="2519.2800000000002"/>
        <n v="1548"/>
        <n v="1139.8100000000002"/>
        <n v="1026"/>
        <n v="998.40000000000009"/>
        <n v="4692"/>
        <n v="721.62"/>
        <n v="2925"/>
        <n v="684"/>
        <n v="2475"/>
        <n v="6528"/>
        <n v="1377"/>
        <n v="4998"/>
        <n v="870.40000000000009"/>
        <n v="2160"/>
        <n v="4029"/>
        <n v="1575"/>
        <n v="3699.2000000000003"/>
        <n v="418"/>
        <n v="123.5"/>
        <n v="4403"/>
        <n v="1137.6000000000001"/>
        <n v="4539"/>
        <n v="1254.4000000000001"/>
        <n v="6656"/>
        <n v="503.5"/>
        <n v="3392"/>
        <n v="1011.5"/>
        <n v="589"/>
        <n v="6272"/>
        <n v="1790.1000000000001"/>
        <n v="2737"/>
        <n v="4446"/>
        <n v="1856"/>
        <n v="1211.25"/>
        <n v="112.10000000000001"/>
        <n v="897.75"/>
        <n v="1624.5"/>
        <n v="672.6"/>
        <n v="4680"/>
        <n v="2496"/>
        <n v="4352"/>
        <n v="928"/>
        <n v="3735"/>
        <n v="969"/>
        <n v="1862"/>
        <n v="1904"/>
        <n v="530.4"/>
        <n v="1653"/>
        <n v="1983.6000000000001"/>
        <n v="1519.8000000000002"/>
        <n v="4928"/>
        <n v="627.30000000000007"/>
        <n v="2499"/>
        <n v="5175"/>
        <n v="1692"/>
        <n v="2593.5"/>
        <n v="1612.45"/>
        <n v="708.90000000000009"/>
        <n v="627"/>
        <n v="942.40000000000009"/>
        <n v="96.9"/>
        <n v="758.1"/>
        <n v="247.5"/>
        <n v="6375"/>
        <n v="2112"/>
        <n v="3384"/>
        <n v="644.40000000000009"/>
        <n v="1724.25"/>
        <n v="1484.1000000000001"/>
        <n v="5508"/>
        <n v="832.2"/>
        <n v="705.6"/>
        <n v="68.400000000000006"/>
        <n v="5318.4000000000005"/>
        <n v="2856"/>
        <n v="532.80000000000007"/>
        <n v="6069"/>
        <n v="2252.8000000000002"/>
        <n v="560.5"/>
        <n v="1433.95"/>
        <n v="759.05000000000007"/>
        <n v="106.4"/>
        <n v="5771.5"/>
        <n v="2652"/>
        <n v="250.8"/>
        <n v="1358.5"/>
        <n v="2201.5"/>
        <n v="2703.6000000000004"/>
        <n v="1178.1000000000001"/>
        <n v="259.35000000000002"/>
        <n v="800"/>
        <n v="4815"/>
        <n v="2945.25"/>
        <n v="1713.6000000000001"/>
        <n v="3088.8"/>
        <n v="819"/>
      </sharedItems>
    </cacheField>
    <cacheField name="Payment_Mode" numFmtId="0">
      <sharedItems count="4">
        <s v="UPI"/>
        <s v="Card"/>
        <s v="Net Banking"/>
        <s v="Cash"/>
      </sharedItems>
    </cacheField>
    <cacheField name="Delivery_Status" numFmtId="0">
      <sharedItems count="4">
        <s v="Pending"/>
        <s v="Delivered"/>
        <s v="Returned"/>
        <s v="Cancelled"/>
      </sharedItems>
    </cacheField>
  </cacheFields>
  <extLst>
    <ext xmlns:x14="http://schemas.microsoft.com/office/spreadsheetml/2009/9/main" uri="{725AE2AE-9491-48be-B2B4-4EB974FC3084}">
      <x14:pivotCacheDefinition pivotCacheId="973160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2"/>
    <s v="2025-01-07"/>
    <s v="Kavya Sharma"/>
    <s v="Female"/>
    <n v="28"/>
    <s v="Jaipur"/>
    <x v="0"/>
    <x v="0"/>
    <x v="0"/>
    <n v="5"/>
    <n v="1250"/>
    <x v="0"/>
    <x v="0"/>
    <x v="0"/>
    <x v="0"/>
    <x v="0"/>
  </r>
  <r>
    <s v="ORD1003"/>
    <s v="2025-01-10"/>
    <s v="Vivaan Joshi"/>
    <s v="Male"/>
    <n v="57"/>
    <s v="Mysuru"/>
    <x v="1"/>
    <x v="1"/>
    <x v="1"/>
    <n v="5"/>
    <n v="875"/>
    <x v="0"/>
    <x v="1"/>
    <x v="1"/>
    <x v="1"/>
    <x v="1"/>
  </r>
  <r>
    <s v="ORD1004"/>
    <s v="2025-01-13"/>
    <s v="Rahul Joshi"/>
    <s v="Female"/>
    <n v="48"/>
    <s v="Jaipur"/>
    <x v="0"/>
    <x v="1"/>
    <x v="2"/>
    <n v="4"/>
    <n v="3499"/>
    <x v="0"/>
    <x v="2"/>
    <x v="2"/>
    <x v="1"/>
    <x v="0"/>
  </r>
  <r>
    <s v="ORD1005"/>
    <s v="2025-01-16"/>
    <s v="Ananya Poojary"/>
    <s v="Female"/>
    <n v="39"/>
    <s v="Mumbai"/>
    <x v="2"/>
    <x v="2"/>
    <x v="3"/>
    <n v="4"/>
    <n v="2150"/>
    <x v="0"/>
    <x v="3"/>
    <x v="3"/>
    <x v="2"/>
    <x v="2"/>
  </r>
  <r>
    <s v="ORD1006"/>
    <s v="2025-01-19"/>
    <s v="Ishita Shetty"/>
    <s v="Male"/>
    <n v="42"/>
    <s v="Hyderabad"/>
    <x v="3"/>
    <x v="0"/>
    <x v="4"/>
    <n v="1"/>
    <n v="5999"/>
    <x v="1"/>
    <x v="4"/>
    <x v="4"/>
    <x v="0"/>
    <x v="1"/>
  </r>
  <r>
    <s v="ORD1007"/>
    <s v="2025-01-22"/>
    <s v="Varun Nair"/>
    <s v="Male"/>
    <n v="60"/>
    <s v="Jaipur"/>
    <x v="0"/>
    <x v="3"/>
    <x v="5"/>
    <n v="4"/>
    <n v="1425"/>
    <x v="0"/>
    <x v="5"/>
    <x v="5"/>
    <x v="2"/>
    <x v="3"/>
  </r>
  <r>
    <s v="ORD1008"/>
    <s v="2025-01-25"/>
    <s v="Nikhil Sharma"/>
    <s v="Female"/>
    <n v="19"/>
    <s v="Mumbai"/>
    <x v="2"/>
    <x v="0"/>
    <x v="6"/>
    <n v="8"/>
    <n v="780"/>
    <x v="2"/>
    <x v="6"/>
    <x v="6"/>
    <x v="1"/>
    <x v="0"/>
  </r>
  <r>
    <s v="ORD1009"/>
    <s v="2025-01-28"/>
    <s v="Aditya Poojary"/>
    <s v="Female"/>
    <n v="55"/>
    <s v="Hyderabad"/>
    <x v="3"/>
    <x v="1"/>
    <x v="7"/>
    <n v="6"/>
    <n v="4600"/>
    <x v="3"/>
    <x v="7"/>
    <x v="7"/>
    <x v="1"/>
    <x v="0"/>
  </r>
  <r>
    <s v="ORD1010"/>
    <s v="2025-01-31"/>
    <s v="Nikhil Nair"/>
    <s v="Male"/>
    <n v="47"/>
    <s v="Mysuru"/>
    <x v="1"/>
    <x v="2"/>
    <x v="8"/>
    <n v="2"/>
    <n v="1899"/>
    <x v="1"/>
    <x v="8"/>
    <x v="8"/>
    <x v="0"/>
    <x v="3"/>
  </r>
  <r>
    <s v="ORD1011"/>
    <s v="2025-02-03"/>
    <s v="Ananya Kumar"/>
    <s v="Female"/>
    <n v="18"/>
    <s v="Chennai"/>
    <x v="4"/>
    <x v="0"/>
    <x v="4"/>
    <n v="5"/>
    <n v="3250"/>
    <x v="0"/>
    <x v="9"/>
    <x v="9"/>
    <x v="2"/>
    <x v="3"/>
  </r>
  <r>
    <s v="ORD1012"/>
    <s v="2025-02-06"/>
    <s v="Diya Reddy"/>
    <s v="Female"/>
    <n v="58"/>
    <s v="Mysuru"/>
    <x v="1"/>
    <x v="0"/>
    <x v="4"/>
    <n v="4"/>
    <n v="950"/>
    <x v="0"/>
    <x v="10"/>
    <x v="10"/>
    <x v="0"/>
    <x v="0"/>
  </r>
  <r>
    <s v="ORD1013"/>
    <s v="2025-02-09"/>
    <s v="Aditya Sharma"/>
    <s v="Female"/>
    <n v="25"/>
    <s v="Mangaluru"/>
    <x v="1"/>
    <x v="0"/>
    <x v="9"/>
    <n v="5"/>
    <n v="2750"/>
    <x v="0"/>
    <x v="11"/>
    <x v="11"/>
    <x v="0"/>
    <x v="2"/>
  </r>
  <r>
    <s v="ORD1014"/>
    <s v="2025-02-12"/>
    <s v="Arjun Poojary"/>
    <s v="Male"/>
    <n v="21"/>
    <s v="Jaipur"/>
    <x v="0"/>
    <x v="3"/>
    <x v="10"/>
    <n v="8"/>
    <n v="5100"/>
    <x v="2"/>
    <x v="12"/>
    <x v="12"/>
    <x v="2"/>
    <x v="2"/>
  </r>
  <r>
    <s v="ORD1015"/>
    <s v="2025-02-15"/>
    <s v="Saanvi Gupta"/>
    <s v="Male"/>
    <n v="34"/>
    <s v="Mangaluru"/>
    <x v="1"/>
    <x v="2"/>
    <x v="11"/>
    <n v="6"/>
    <n v="1350"/>
    <x v="3"/>
    <x v="13"/>
    <x v="13"/>
    <x v="2"/>
    <x v="1"/>
  </r>
  <r>
    <s v="ORD1016"/>
    <s v="2025-02-18"/>
    <s v="Pooja Poojary"/>
    <s v="Female"/>
    <n v="56"/>
    <s v="Bengaluru"/>
    <x v="1"/>
    <x v="2"/>
    <x v="8"/>
    <n v="7"/>
    <n v="4200"/>
    <x v="3"/>
    <x v="14"/>
    <x v="14"/>
    <x v="3"/>
    <x v="3"/>
  </r>
  <r>
    <s v="ORD1017"/>
    <s v="2025-02-21"/>
    <s v="Nikhil Nair"/>
    <s v="Male"/>
    <n v="29"/>
    <s v="Mysuru"/>
    <x v="1"/>
    <x v="1"/>
    <x v="7"/>
    <n v="8"/>
    <n v="680"/>
    <x v="2"/>
    <x v="15"/>
    <x v="15"/>
    <x v="0"/>
    <x v="1"/>
  </r>
  <r>
    <s v="ORD1018"/>
    <s v="2025-02-24"/>
    <s v="Aditya Reddy"/>
    <s v="Female"/>
    <n v="29"/>
    <s v="Mysuru"/>
    <x v="1"/>
    <x v="1"/>
    <x v="12"/>
    <n v="5"/>
    <n v="2400"/>
    <x v="0"/>
    <x v="16"/>
    <x v="16"/>
    <x v="3"/>
    <x v="2"/>
  </r>
  <r>
    <s v="ORD1019"/>
    <s v="2025-02-27"/>
    <s v="Kavya Poojary"/>
    <s v="Male"/>
    <n v="48"/>
    <s v="Delhi"/>
    <x v="5"/>
    <x v="2"/>
    <x v="3"/>
    <n v="6"/>
    <n v="3950"/>
    <x v="3"/>
    <x v="17"/>
    <x v="17"/>
    <x v="2"/>
    <x v="1"/>
  </r>
  <r>
    <s v="ORD1020"/>
    <s v="2025-03-02"/>
    <s v="Neha Singh"/>
    <s v="Female"/>
    <n v="26"/>
    <s v="Mumbai"/>
    <x v="2"/>
    <x v="1"/>
    <x v="1"/>
    <n v="5"/>
    <n v="1750"/>
    <x v="0"/>
    <x v="18"/>
    <x v="18"/>
    <x v="3"/>
    <x v="1"/>
  </r>
  <r>
    <s v="ORD1021"/>
    <s v="2025-03-05"/>
    <s v="Pooja Kumar"/>
    <s v="Male"/>
    <n v="25"/>
    <s v="Hyderabad"/>
    <x v="3"/>
    <x v="1"/>
    <x v="2"/>
    <n v="8"/>
    <n v="2890"/>
    <x v="2"/>
    <x v="19"/>
    <x v="19"/>
    <x v="0"/>
    <x v="1"/>
  </r>
  <r>
    <s v="ORD1022"/>
    <s v="2025-03-08"/>
    <s v="Varun Singh"/>
    <s v="Female"/>
    <n v="19"/>
    <s v="Mysuru"/>
    <x v="1"/>
    <x v="3"/>
    <x v="13"/>
    <n v="2"/>
    <n v="1100"/>
    <x v="1"/>
    <x v="20"/>
    <x v="20"/>
    <x v="0"/>
    <x v="3"/>
  </r>
  <r>
    <s v="ORD1023"/>
    <s v="2025-03-11"/>
    <s v="Sneha Reddy"/>
    <s v="Male"/>
    <n v="24"/>
    <s v="Mangaluru"/>
    <x v="1"/>
    <x v="1"/>
    <x v="2"/>
    <n v="1"/>
    <n v="650"/>
    <x v="1"/>
    <x v="21"/>
    <x v="21"/>
    <x v="0"/>
    <x v="1"/>
  </r>
  <r>
    <s v="ORD1024"/>
    <s v="2025-03-14"/>
    <s v="Meera Patel"/>
    <s v="Female"/>
    <n v="53"/>
    <s v="Kolkata"/>
    <x v="6"/>
    <x v="2"/>
    <x v="11"/>
    <n v="7"/>
    <n v="3700"/>
    <x v="3"/>
    <x v="22"/>
    <x v="22"/>
    <x v="2"/>
    <x v="3"/>
  </r>
  <r>
    <s v="ORD1025"/>
    <s v="2025-03-17"/>
    <s v="Rohit Singh"/>
    <s v="Male"/>
    <n v="56"/>
    <s v="Mysuru"/>
    <x v="1"/>
    <x v="2"/>
    <x v="3"/>
    <n v="4"/>
    <n v="1580"/>
    <x v="0"/>
    <x v="23"/>
    <x v="23"/>
    <x v="1"/>
    <x v="2"/>
  </r>
  <r>
    <s v="ORD1026"/>
    <s v="2025-03-20"/>
    <s v="Meera Poojary"/>
    <s v="Male"/>
    <n v="41"/>
    <s v="Mysuru"/>
    <x v="1"/>
    <x v="0"/>
    <x v="14"/>
    <n v="6"/>
    <n v="4450"/>
    <x v="3"/>
    <x v="24"/>
    <x v="24"/>
    <x v="0"/>
    <x v="2"/>
  </r>
  <r>
    <s v="ORD1027"/>
    <s v="2025-03-23"/>
    <s v="Neha Sharma"/>
    <s v="Male"/>
    <n v="23"/>
    <s v="Jaipur"/>
    <x v="0"/>
    <x v="3"/>
    <x v="13"/>
    <n v="8"/>
    <n v="980"/>
    <x v="2"/>
    <x v="25"/>
    <x v="25"/>
    <x v="2"/>
    <x v="0"/>
  </r>
  <r>
    <s v="ORD1028"/>
    <s v="2025-03-26"/>
    <s v="Diya Kumar"/>
    <s v="Male"/>
    <n v="41"/>
    <s v="Hyderabad"/>
    <x v="3"/>
    <x v="3"/>
    <x v="5"/>
    <n v="8"/>
    <n v="5200"/>
    <x v="2"/>
    <x v="26"/>
    <x v="26"/>
    <x v="1"/>
    <x v="1"/>
  </r>
  <r>
    <s v="ORD1029"/>
    <s v="2025-03-29"/>
    <s v="Neha Poojary"/>
    <s v="Male"/>
    <n v="47"/>
    <s v="Bengaluru"/>
    <x v="1"/>
    <x v="3"/>
    <x v="15"/>
    <n v="2"/>
    <n v="1325"/>
    <x v="1"/>
    <x v="27"/>
    <x v="27"/>
    <x v="0"/>
    <x v="0"/>
  </r>
  <r>
    <s v="ORD1030"/>
    <s v="2025-04-01"/>
    <s v="Diya Sharma"/>
    <s v="Male"/>
    <n v="20"/>
    <s v="Pune"/>
    <x v="2"/>
    <x v="2"/>
    <x v="11"/>
    <n v="8"/>
    <n v="2650"/>
    <x v="2"/>
    <x v="28"/>
    <x v="28"/>
    <x v="3"/>
    <x v="1"/>
  </r>
  <r>
    <s v="ORD1031"/>
    <s v="2025-04-04"/>
    <s v="Aisha Sharma"/>
    <s v="Female"/>
    <n v="36"/>
    <s v="Mumbai"/>
    <x v="2"/>
    <x v="1"/>
    <x v="16"/>
    <n v="7"/>
    <n v="850"/>
    <x v="3"/>
    <x v="29"/>
    <x v="29"/>
    <x v="2"/>
    <x v="3"/>
  </r>
  <r>
    <s v="ORD1032"/>
    <s v="2025-04-07"/>
    <s v="Sneha Nair"/>
    <s v="Female"/>
    <n v="20"/>
    <s v="Mysuru"/>
    <x v="1"/>
    <x v="0"/>
    <x v="14"/>
    <n v="1"/>
    <n v="3100"/>
    <x v="1"/>
    <x v="30"/>
    <x v="30"/>
    <x v="3"/>
    <x v="2"/>
  </r>
  <r>
    <s v="ORD1033"/>
    <s v="2025-04-10"/>
    <s v="Pooja Nair"/>
    <s v="Female"/>
    <n v="57"/>
    <s v="Jaipur"/>
    <x v="0"/>
    <x v="2"/>
    <x v="3"/>
    <n v="8"/>
    <n v="4900"/>
    <x v="2"/>
    <x v="31"/>
    <x v="31"/>
    <x v="1"/>
    <x v="1"/>
  </r>
  <r>
    <s v="ORD1034"/>
    <s v="2025-04-13"/>
    <s v="Arjun Joshi"/>
    <s v="Female"/>
    <n v="56"/>
    <s v="Bengaluru"/>
    <x v="1"/>
    <x v="1"/>
    <x v="7"/>
    <n v="6"/>
    <n v="1755"/>
    <x v="3"/>
    <x v="32"/>
    <x v="32"/>
    <x v="2"/>
    <x v="1"/>
  </r>
  <r>
    <s v="ORD1035"/>
    <s v="2025-04-16"/>
    <s v="Vivaan Poojary"/>
    <s v="Male"/>
    <n v="40"/>
    <s v="Mangaluru"/>
    <x v="1"/>
    <x v="1"/>
    <x v="16"/>
    <n v="7"/>
    <n v="2300"/>
    <x v="3"/>
    <x v="33"/>
    <x v="33"/>
    <x v="0"/>
    <x v="0"/>
  </r>
  <r>
    <s v="ORD1036"/>
    <s v="2025-04-19"/>
    <s v="Rohit Singh"/>
    <s v="Male"/>
    <n v="45"/>
    <s v="Kolkata"/>
    <x v="6"/>
    <x v="1"/>
    <x v="16"/>
    <n v="3"/>
    <n v="7800"/>
    <x v="1"/>
    <x v="34"/>
    <x v="34"/>
    <x v="0"/>
    <x v="1"/>
  </r>
  <r>
    <s v="ORD1037"/>
    <s v="2025-04-22"/>
    <s v="Neha Sharma"/>
    <s v="Female"/>
    <n v="33"/>
    <s v="Jaipur"/>
    <x v="0"/>
    <x v="1"/>
    <x v="7"/>
    <n v="8"/>
    <n v="1450"/>
    <x v="2"/>
    <x v="35"/>
    <x v="35"/>
    <x v="3"/>
    <x v="3"/>
  </r>
  <r>
    <s v="ORD1038"/>
    <s v="2025-04-25"/>
    <s v="Saanvi Joshi"/>
    <s v="Male"/>
    <n v="39"/>
    <s v="Pune"/>
    <x v="2"/>
    <x v="1"/>
    <x v="16"/>
    <n v="1"/>
    <n v="3600"/>
    <x v="1"/>
    <x v="10"/>
    <x v="10"/>
    <x v="2"/>
    <x v="3"/>
  </r>
  <r>
    <s v="ORD1039"/>
    <s v="2025-04-28"/>
    <s v="Aarav Singh"/>
    <s v="Male"/>
    <n v="31"/>
    <s v="Jaipur"/>
    <x v="0"/>
    <x v="3"/>
    <x v="10"/>
    <n v="3"/>
    <n v="2125"/>
    <x v="1"/>
    <x v="36"/>
    <x v="36"/>
    <x v="1"/>
    <x v="1"/>
  </r>
  <r>
    <s v="ORD1040"/>
    <s v="2025-05-01"/>
    <s v="Aisha Reddy"/>
    <s v="Male"/>
    <n v="25"/>
    <s v="Bengaluru"/>
    <x v="1"/>
    <x v="1"/>
    <x v="12"/>
    <n v="1"/>
    <n v="590"/>
    <x v="1"/>
    <x v="37"/>
    <x v="37"/>
    <x v="3"/>
    <x v="1"/>
  </r>
  <r>
    <s v="ORD1041"/>
    <s v="2025-05-04"/>
    <s v="Neha Sharma"/>
    <s v="Male"/>
    <n v="39"/>
    <s v="Hyderabad"/>
    <x v="3"/>
    <x v="3"/>
    <x v="13"/>
    <n v="1"/>
    <n v="4725"/>
    <x v="1"/>
    <x v="38"/>
    <x v="38"/>
    <x v="1"/>
    <x v="0"/>
  </r>
  <r>
    <s v="ORD1042"/>
    <s v="2025-05-07"/>
    <s v="Pooja Poojary"/>
    <s v="Female"/>
    <n v="34"/>
    <s v="Chennai"/>
    <x v="4"/>
    <x v="1"/>
    <x v="16"/>
    <n v="3"/>
    <n v="2850"/>
    <x v="1"/>
    <x v="39"/>
    <x v="39"/>
    <x v="3"/>
    <x v="1"/>
  </r>
  <r>
    <s v="ORD1043"/>
    <s v="2025-05-10"/>
    <s v="Aditya Poojary"/>
    <s v="Female"/>
    <n v="41"/>
    <s v="Jaipur"/>
    <x v="0"/>
    <x v="1"/>
    <x v="16"/>
    <n v="3"/>
    <n v="1180"/>
    <x v="1"/>
    <x v="40"/>
    <x v="40"/>
    <x v="2"/>
    <x v="1"/>
  </r>
  <r>
    <s v="ORD1044"/>
    <s v="2025-05-13"/>
    <s v="Diya Reddy"/>
    <s v="Male"/>
    <n v="24"/>
    <s v="Mumbai"/>
    <x v="2"/>
    <x v="1"/>
    <x v="7"/>
    <n v="4"/>
    <n v="6500"/>
    <x v="0"/>
    <x v="41"/>
    <x v="41"/>
    <x v="3"/>
    <x v="2"/>
  </r>
  <r>
    <s v="ORD1045"/>
    <s v="2025-05-16"/>
    <s v="Saanvi Sharma"/>
    <s v="Male"/>
    <n v="50"/>
    <s v="Hyderabad"/>
    <x v="3"/>
    <x v="2"/>
    <x v="17"/>
    <n v="8"/>
    <n v="1950"/>
    <x v="2"/>
    <x v="42"/>
    <x v="42"/>
    <x v="0"/>
    <x v="2"/>
  </r>
  <r>
    <s v="ORD1046"/>
    <s v="2025-05-19"/>
    <s v="Ishita Shetty"/>
    <s v="Female"/>
    <n v="21"/>
    <s v="Mumbai"/>
    <x v="2"/>
    <x v="0"/>
    <x v="4"/>
    <n v="8"/>
    <n v="3400"/>
    <x v="2"/>
    <x v="43"/>
    <x v="43"/>
    <x v="3"/>
    <x v="2"/>
  </r>
  <r>
    <s v="ORD1047"/>
    <s v="2025-05-22"/>
    <s v="Aisha Sharma"/>
    <s v="Female"/>
    <n v="26"/>
    <s v="Jaipur"/>
    <x v="0"/>
    <x v="2"/>
    <x v="17"/>
    <n v="8"/>
    <n v="725"/>
    <x v="2"/>
    <x v="44"/>
    <x v="44"/>
    <x v="3"/>
    <x v="2"/>
  </r>
  <r>
    <s v="ORD1048"/>
    <s v="2025-05-25"/>
    <s v="Aarav Sharma"/>
    <s v="Male"/>
    <n v="30"/>
    <s v="Chennai"/>
    <x v="4"/>
    <x v="2"/>
    <x v="18"/>
    <n v="5"/>
    <n v="4150"/>
    <x v="0"/>
    <x v="45"/>
    <x v="45"/>
    <x v="1"/>
    <x v="2"/>
  </r>
  <r>
    <s v="ORD1049"/>
    <s v="2025-05-28"/>
    <s v="Varun Joshi"/>
    <s v="Male"/>
    <n v="33"/>
    <s v="Bengaluru"/>
    <x v="1"/>
    <x v="2"/>
    <x v="3"/>
    <n v="2"/>
    <n v="2550"/>
    <x v="1"/>
    <x v="46"/>
    <x v="46"/>
    <x v="1"/>
    <x v="0"/>
  </r>
  <r>
    <s v="ORD1050"/>
    <s v="2025-05-31"/>
    <s v="Aisha Joshi"/>
    <s v="Male"/>
    <n v="26"/>
    <s v="Kolkata"/>
    <x v="6"/>
    <x v="2"/>
    <x v="17"/>
    <n v="1"/>
    <n v="9800"/>
    <x v="1"/>
    <x v="47"/>
    <x v="47"/>
    <x v="0"/>
    <x v="2"/>
  </r>
  <r>
    <s v="ORD1051"/>
    <s v="2025-06-03"/>
    <s v="Aisha Joshi"/>
    <s v="Female"/>
    <n v="36"/>
    <s v="Delhi"/>
    <x v="5"/>
    <x v="2"/>
    <x v="17"/>
    <n v="7"/>
    <n v="1600"/>
    <x v="3"/>
    <x v="48"/>
    <x v="48"/>
    <x v="0"/>
    <x v="0"/>
  </r>
  <r>
    <s v="ORD1052"/>
    <s v="2025-06-06"/>
    <s v="Diya Singh"/>
    <s v="Female"/>
    <n v="59"/>
    <s v="Hyderabad"/>
    <x v="3"/>
    <x v="3"/>
    <x v="10"/>
    <n v="6"/>
    <n v="520"/>
    <x v="3"/>
    <x v="49"/>
    <x v="49"/>
    <x v="3"/>
    <x v="0"/>
  </r>
  <r>
    <s v="ORD1053"/>
    <s v="2025-06-09"/>
    <s v="Vivaan Patel"/>
    <s v="Female"/>
    <n v="32"/>
    <s v="Bengaluru"/>
    <x v="1"/>
    <x v="3"/>
    <x v="13"/>
    <n v="2"/>
    <n v="4350"/>
    <x v="1"/>
    <x v="50"/>
    <x v="50"/>
    <x v="1"/>
    <x v="2"/>
  </r>
  <r>
    <s v="ORD1054"/>
    <s v="2025-06-12"/>
    <s v="Nikhil Singh"/>
    <s v="Male"/>
    <n v="29"/>
    <s v="Bengaluru"/>
    <x v="1"/>
    <x v="2"/>
    <x v="11"/>
    <n v="4"/>
    <n v="2755"/>
    <x v="0"/>
    <x v="51"/>
    <x v="51"/>
    <x v="0"/>
    <x v="0"/>
  </r>
  <r>
    <s v="ORD1055"/>
    <s v="2025-06-15"/>
    <s v="Ananya Joshi"/>
    <s v="Female"/>
    <n v="24"/>
    <s v="Delhi"/>
    <x v="5"/>
    <x v="0"/>
    <x v="9"/>
    <n v="6"/>
    <n v="1490"/>
    <x v="3"/>
    <x v="52"/>
    <x v="52"/>
    <x v="3"/>
    <x v="1"/>
  </r>
  <r>
    <s v="ORD1056"/>
    <s v="2025-06-18"/>
    <s v="Nikhil Sharma"/>
    <s v="Female"/>
    <n v="25"/>
    <s v="Pune"/>
    <x v="2"/>
    <x v="1"/>
    <x v="16"/>
    <n v="8"/>
    <n v="3850"/>
    <x v="2"/>
    <x v="53"/>
    <x v="53"/>
    <x v="3"/>
    <x v="1"/>
  </r>
  <r>
    <s v="ORD1057"/>
    <s v="2025-06-21"/>
    <s v="Neha Patel"/>
    <s v="Female"/>
    <n v="33"/>
    <s v="Jaipur"/>
    <x v="0"/>
    <x v="1"/>
    <x v="12"/>
    <n v="6"/>
    <n v="615"/>
    <x v="3"/>
    <x v="54"/>
    <x v="54"/>
    <x v="2"/>
    <x v="2"/>
  </r>
  <r>
    <s v="ORD1058"/>
    <s v="2025-06-24"/>
    <s v="Riya Reddy"/>
    <s v="Female"/>
    <n v="33"/>
    <s v="Delhi"/>
    <x v="5"/>
    <x v="1"/>
    <x v="7"/>
    <n v="7"/>
    <n v="2100"/>
    <x v="3"/>
    <x v="55"/>
    <x v="55"/>
    <x v="2"/>
    <x v="1"/>
  </r>
  <r>
    <s v="ORD1059"/>
    <s v="2025-06-27"/>
    <s v="Ishita Shetty"/>
    <s v="Male"/>
    <n v="37"/>
    <s v="Hyderabad"/>
    <x v="3"/>
    <x v="0"/>
    <x v="14"/>
    <n v="5"/>
    <n v="5750"/>
    <x v="0"/>
    <x v="56"/>
    <x v="56"/>
    <x v="3"/>
    <x v="0"/>
  </r>
  <r>
    <s v="ORD1060"/>
    <s v="2025-06-30"/>
    <s v="Sneha Poojary"/>
    <s v="Male"/>
    <n v="26"/>
    <s v="Chennai"/>
    <x v="4"/>
    <x v="3"/>
    <x v="13"/>
    <n v="5"/>
    <n v="1880"/>
    <x v="0"/>
    <x v="57"/>
    <x v="57"/>
    <x v="2"/>
    <x v="3"/>
  </r>
  <r>
    <s v="ORD1061"/>
    <s v="2025-07-03"/>
    <s v="Rohit Reddy"/>
    <s v="Female"/>
    <n v="26"/>
    <s v="Pune"/>
    <x v="2"/>
    <x v="3"/>
    <x v="13"/>
    <n v="3"/>
    <n v="4550"/>
    <x v="1"/>
    <x v="58"/>
    <x v="58"/>
    <x v="3"/>
    <x v="2"/>
  </r>
  <r>
    <s v="ORD1062"/>
    <s v="2025-07-06"/>
    <s v="Pooja Singh"/>
    <s v="Female"/>
    <n v="24"/>
    <s v="Chennai"/>
    <x v="4"/>
    <x v="0"/>
    <x v="14"/>
    <n v="7"/>
    <n v="1355"/>
    <x v="3"/>
    <x v="59"/>
    <x v="59"/>
    <x v="0"/>
    <x v="3"/>
  </r>
  <r>
    <s v="ORD1063"/>
    <s v="2025-07-09"/>
    <s v="Ananya Gupta"/>
    <s v="Male"/>
    <n v="25"/>
    <s v="Hyderabad"/>
    <x v="3"/>
    <x v="1"/>
    <x v="2"/>
    <n v="6"/>
    <n v="695"/>
    <x v="3"/>
    <x v="60"/>
    <x v="60"/>
    <x v="1"/>
    <x v="1"/>
  </r>
  <r>
    <s v="ORD1064"/>
    <s v="2025-07-12"/>
    <s v="Riya Shetty"/>
    <s v="Male"/>
    <n v="57"/>
    <s v="Kolkata"/>
    <x v="6"/>
    <x v="2"/>
    <x v="17"/>
    <n v="1"/>
    <n v="3300"/>
    <x v="1"/>
    <x v="61"/>
    <x v="61"/>
    <x v="2"/>
    <x v="0"/>
  </r>
  <r>
    <s v="ORD1065"/>
    <s v="2025-07-15"/>
    <s v="Vivaan Singh"/>
    <s v="Female"/>
    <n v="55"/>
    <s v="Hyderabad"/>
    <x v="3"/>
    <x v="0"/>
    <x v="14"/>
    <n v="2"/>
    <n v="2480"/>
    <x v="1"/>
    <x v="62"/>
    <x v="62"/>
    <x v="0"/>
    <x v="1"/>
  </r>
  <r>
    <s v="ORD1066"/>
    <s v="2025-07-18"/>
    <s v="Rohit Poojary"/>
    <s v="Male"/>
    <n v="57"/>
    <s v="Bengaluru"/>
    <x v="1"/>
    <x v="2"/>
    <x v="17"/>
    <n v="1"/>
    <n v="510"/>
    <x v="1"/>
    <x v="63"/>
    <x v="63"/>
    <x v="2"/>
    <x v="0"/>
  </r>
  <r>
    <s v="ORD1067"/>
    <s v="2025-07-21"/>
    <s v="Ishita Nair"/>
    <s v="Female"/>
    <n v="25"/>
    <s v="Hyderabad"/>
    <x v="3"/>
    <x v="2"/>
    <x v="11"/>
    <n v="1"/>
    <n v="3990"/>
    <x v="1"/>
    <x v="64"/>
    <x v="64"/>
    <x v="2"/>
    <x v="0"/>
  </r>
  <r>
    <s v="ORD1068"/>
    <s v="2025-07-24"/>
    <s v="Varun Kumar"/>
    <s v="Male"/>
    <n v="19"/>
    <s v="Mangaluru"/>
    <x v="1"/>
    <x v="1"/>
    <x v="2"/>
    <n v="5"/>
    <n v="275"/>
    <x v="0"/>
    <x v="65"/>
    <x v="65"/>
    <x v="3"/>
    <x v="3"/>
  </r>
  <r>
    <s v="ORD1069"/>
    <s v="2025-07-27"/>
    <s v="Aditya Patel"/>
    <s v="Female"/>
    <n v="44"/>
    <s v="Bengaluru"/>
    <x v="1"/>
    <x v="3"/>
    <x v="13"/>
    <n v="6"/>
    <n v="6250"/>
    <x v="3"/>
    <x v="66"/>
    <x v="66"/>
    <x v="2"/>
    <x v="1"/>
  </r>
  <r>
    <s v="ORD1070"/>
    <s v="2025-07-30"/>
    <s v="Varun Poojary"/>
    <s v="Female"/>
    <n v="34"/>
    <s v="Pune"/>
    <x v="2"/>
    <x v="2"/>
    <x v="3"/>
    <n v="8"/>
    <n v="1650"/>
    <x v="2"/>
    <x v="67"/>
    <x v="67"/>
    <x v="1"/>
    <x v="3"/>
  </r>
  <r>
    <s v="ORD1071"/>
    <s v="2025-08-02"/>
    <s v="Arjun Shetty"/>
    <s v="Female"/>
    <n v="26"/>
    <s v="Delhi"/>
    <x v="5"/>
    <x v="3"/>
    <x v="10"/>
    <n v="4"/>
    <n v="4700"/>
    <x v="0"/>
    <x v="68"/>
    <x v="68"/>
    <x v="3"/>
    <x v="0"/>
  </r>
  <r>
    <s v="ORD1072"/>
    <s v="2025-08-05"/>
    <s v="Ishita Shetty"/>
    <s v="Male"/>
    <n v="26"/>
    <s v="Kolkata"/>
    <x v="6"/>
    <x v="3"/>
    <x v="15"/>
    <n v="4"/>
    <n v="895"/>
    <x v="0"/>
    <x v="69"/>
    <x v="69"/>
    <x v="0"/>
    <x v="2"/>
  </r>
  <r>
    <s v="ORD1073"/>
    <s v="2025-08-08"/>
    <s v="Vivaan Nair"/>
    <s v="Female"/>
    <n v="53"/>
    <s v="Delhi"/>
    <x v="5"/>
    <x v="2"/>
    <x v="11"/>
    <n v="3"/>
    <n v="3025"/>
    <x v="1"/>
    <x v="70"/>
    <x v="70"/>
    <x v="1"/>
    <x v="1"/>
  </r>
  <r>
    <s v="ORD1074"/>
    <s v="2025-08-11"/>
    <s v="Rohit Patel"/>
    <s v="Female"/>
    <n v="33"/>
    <s v="Mangaluru"/>
    <x v="1"/>
    <x v="0"/>
    <x v="0"/>
    <n v="6"/>
    <n v="1455"/>
    <x v="3"/>
    <x v="71"/>
    <x v="71"/>
    <x v="0"/>
    <x v="2"/>
  </r>
  <r>
    <s v="ORD1075"/>
    <s v="2025-08-14"/>
    <s v="Aarav Kumar"/>
    <s v="Male"/>
    <n v="47"/>
    <s v="Chennai"/>
    <x v="4"/>
    <x v="0"/>
    <x v="0"/>
    <n v="6"/>
    <n v="5400"/>
    <x v="3"/>
    <x v="72"/>
    <x v="72"/>
    <x v="0"/>
    <x v="0"/>
  </r>
  <r>
    <s v="ORD1076"/>
    <s v="2025-08-17"/>
    <s v="Kavya Nair"/>
    <s v="Female"/>
    <n v="59"/>
    <s v="Hyderabad"/>
    <x v="3"/>
    <x v="1"/>
    <x v="2"/>
    <n v="2"/>
    <n v="2190"/>
    <x v="1"/>
    <x v="73"/>
    <x v="73"/>
    <x v="1"/>
    <x v="1"/>
  </r>
  <r>
    <s v="ORD1077"/>
    <s v="2025-08-20"/>
    <s v="Arjun Reddy"/>
    <s v="Female"/>
    <n v="48"/>
    <s v="Jaipur"/>
    <x v="0"/>
    <x v="2"/>
    <x v="8"/>
    <n v="4"/>
    <n v="980"/>
    <x v="0"/>
    <x v="74"/>
    <x v="74"/>
    <x v="1"/>
    <x v="1"/>
  </r>
  <r>
    <s v="ORD1078"/>
    <s v="2025-08-23"/>
    <s v="Rahul Patel"/>
    <s v="Male"/>
    <n v="47"/>
    <s v="Delhi"/>
    <x v="5"/>
    <x v="0"/>
    <x v="4"/>
    <n v="1"/>
    <n v="360"/>
    <x v="1"/>
    <x v="75"/>
    <x v="75"/>
    <x v="1"/>
    <x v="2"/>
  </r>
  <r>
    <s v="ORD1079"/>
    <s v="2025-08-26"/>
    <s v="Pooja Sharma"/>
    <s v="Male"/>
    <n v="55"/>
    <s v="Pune"/>
    <x v="2"/>
    <x v="0"/>
    <x v="9"/>
    <n v="8"/>
    <n v="4155"/>
    <x v="2"/>
    <x v="76"/>
    <x v="76"/>
    <x v="3"/>
    <x v="0"/>
  </r>
  <r>
    <s v="ORD1080"/>
    <s v="2025-08-29"/>
    <s v="Neha Nair"/>
    <s v="Male"/>
    <n v="54"/>
    <s v="Mangaluru"/>
    <x v="1"/>
    <x v="2"/>
    <x v="8"/>
    <n v="6"/>
    <n v="2800"/>
    <x v="3"/>
    <x v="77"/>
    <x v="77"/>
    <x v="2"/>
    <x v="1"/>
  </r>
  <r>
    <s v="ORD1081"/>
    <s v="2025-09-01"/>
    <s v="Varun Nair"/>
    <s v="Female"/>
    <n v="33"/>
    <s v="Chennai"/>
    <x v="4"/>
    <x v="3"/>
    <x v="10"/>
    <n v="4"/>
    <n v="740"/>
    <x v="0"/>
    <x v="78"/>
    <x v="78"/>
    <x v="2"/>
    <x v="1"/>
  </r>
  <r>
    <s v="ORD1082"/>
    <s v="2025-09-04"/>
    <s v="Rohit Nair"/>
    <s v="Female"/>
    <n v="19"/>
    <s v="Mysuru"/>
    <x v="1"/>
    <x v="3"/>
    <x v="19"/>
    <n v="7"/>
    <n v="5100"/>
    <x v="3"/>
    <x v="79"/>
    <x v="79"/>
    <x v="2"/>
    <x v="2"/>
  </r>
  <r>
    <s v="ORD1083"/>
    <s v="2025-09-07"/>
    <s v="Nikhil Gupta"/>
    <s v="Male"/>
    <n v="46"/>
    <s v="Mysuru"/>
    <x v="1"/>
    <x v="2"/>
    <x v="18"/>
    <n v="8"/>
    <n v="1760"/>
    <x v="2"/>
    <x v="80"/>
    <x v="80"/>
    <x v="3"/>
    <x v="3"/>
  </r>
  <r>
    <s v="ORD1084"/>
    <s v="2025-09-10"/>
    <s v="Aarav Poojary"/>
    <s v="Male"/>
    <n v="31"/>
    <s v="Kolkata"/>
    <x v="6"/>
    <x v="2"/>
    <x v="18"/>
    <n v="1"/>
    <n v="2950"/>
    <x v="1"/>
    <x v="81"/>
    <x v="81"/>
    <x v="3"/>
    <x v="1"/>
  </r>
  <r>
    <s v="ORD1085"/>
    <s v="2025-09-13"/>
    <s v="Diya Kumar"/>
    <s v="Female"/>
    <n v="18"/>
    <s v="Chennai"/>
    <x v="4"/>
    <x v="0"/>
    <x v="6"/>
    <n v="7"/>
    <n v="1205"/>
    <x v="3"/>
    <x v="82"/>
    <x v="82"/>
    <x v="3"/>
    <x v="3"/>
  </r>
  <r>
    <s v="ORD1086"/>
    <s v="2025-09-16"/>
    <s v="Pooja Nair"/>
    <s v="Male"/>
    <n v="59"/>
    <s v="Delhi"/>
    <x v="5"/>
    <x v="1"/>
    <x v="12"/>
    <n v="1"/>
    <n v="3995"/>
    <x v="1"/>
    <x v="83"/>
    <x v="83"/>
    <x v="1"/>
    <x v="3"/>
  </r>
  <r>
    <s v="ORD1087"/>
    <s v="2025-09-19"/>
    <s v="Neha Poojary"/>
    <s v="Male"/>
    <n v="43"/>
    <s v="Mysuru"/>
    <x v="1"/>
    <x v="3"/>
    <x v="19"/>
    <n v="1"/>
    <n v="560"/>
    <x v="1"/>
    <x v="84"/>
    <x v="84"/>
    <x v="2"/>
    <x v="2"/>
  </r>
  <r>
    <s v="ORD1088"/>
    <s v="2025-09-22"/>
    <s v="Kavya Nair"/>
    <s v="Female"/>
    <n v="27"/>
    <s v="Delhi"/>
    <x v="5"/>
    <x v="2"/>
    <x v="18"/>
    <n v="7"/>
    <n v="4850"/>
    <x v="3"/>
    <x v="85"/>
    <x v="85"/>
    <x v="0"/>
    <x v="3"/>
  </r>
  <r>
    <s v="ORD1089"/>
    <s v="2025-09-25"/>
    <s v="Nikhil Singh"/>
    <s v="Male"/>
    <n v="30"/>
    <s v="Pune"/>
    <x v="2"/>
    <x v="0"/>
    <x v="6"/>
    <n v="6"/>
    <n v="2600"/>
    <x v="3"/>
    <x v="86"/>
    <x v="86"/>
    <x v="3"/>
    <x v="2"/>
  </r>
  <r>
    <s v="ORD1090"/>
    <s v="2025-09-28"/>
    <s v="Nikhil Reddy"/>
    <s v="Male"/>
    <n v="29"/>
    <s v="Pune"/>
    <x v="2"/>
    <x v="1"/>
    <x v="12"/>
    <n v="1"/>
    <n v="1320"/>
    <x v="1"/>
    <x v="87"/>
    <x v="87"/>
    <x v="1"/>
    <x v="2"/>
  </r>
  <r>
    <s v="ORD1091"/>
    <s v="2025-10-01"/>
    <s v="Neha Reddy"/>
    <s v="Female"/>
    <n v="26"/>
    <s v="Delhi"/>
    <x v="5"/>
    <x v="2"/>
    <x v="8"/>
    <n v="1"/>
    <n v="7150"/>
    <x v="1"/>
    <x v="88"/>
    <x v="88"/>
    <x v="3"/>
    <x v="0"/>
  </r>
  <r>
    <s v="ORD1092"/>
    <s v="2025-10-04"/>
    <s v="Pooja Shetty"/>
    <s v="Female"/>
    <n v="56"/>
    <s v="Mumbai"/>
    <x v="2"/>
    <x v="1"/>
    <x v="2"/>
    <n v="7"/>
    <n v="1850"/>
    <x v="3"/>
    <x v="89"/>
    <x v="89"/>
    <x v="3"/>
    <x v="0"/>
  </r>
  <r>
    <s v="ORD1093"/>
    <s v="2025-10-07"/>
    <s v="Pooja Kumar"/>
    <s v="Female"/>
    <n v="24"/>
    <s v="Mangaluru"/>
    <x v="1"/>
    <x v="2"/>
    <x v="8"/>
    <n v="4"/>
    <n v="3755"/>
    <x v="0"/>
    <x v="90"/>
    <x v="90"/>
    <x v="3"/>
    <x v="0"/>
  </r>
  <r>
    <s v="ORD1094"/>
    <s v="2025-10-10"/>
    <s v="Arjun Poojary"/>
    <s v="Female"/>
    <n v="28"/>
    <s v="Mysuru"/>
    <x v="1"/>
    <x v="3"/>
    <x v="10"/>
    <n v="7"/>
    <n v="990"/>
    <x v="3"/>
    <x v="91"/>
    <x v="91"/>
    <x v="0"/>
    <x v="3"/>
  </r>
  <r>
    <s v="ORD1095"/>
    <s v="2025-10-13"/>
    <s v="Ishita Gupta"/>
    <s v="Male"/>
    <n v="25"/>
    <s v="Mumbai"/>
    <x v="2"/>
    <x v="3"/>
    <x v="19"/>
    <n v="3"/>
    <n v="455"/>
    <x v="1"/>
    <x v="92"/>
    <x v="92"/>
    <x v="1"/>
    <x v="1"/>
  </r>
  <r>
    <s v="ORD1096"/>
    <s v="2025-10-16"/>
    <s v="Vivaan Sharma"/>
    <s v="Male"/>
    <n v="53"/>
    <s v="Pune"/>
    <x v="2"/>
    <x v="3"/>
    <x v="5"/>
    <n v="8"/>
    <n v="625"/>
    <x v="2"/>
    <x v="93"/>
    <x v="93"/>
    <x v="0"/>
    <x v="1"/>
  </r>
  <r>
    <s v="ORD1097"/>
    <s v="2025-10-19"/>
    <s v="Diya Patel"/>
    <s v="Female"/>
    <n v="46"/>
    <s v="Hyderabad"/>
    <x v="3"/>
    <x v="1"/>
    <x v="16"/>
    <n v="5"/>
    <n v="5350"/>
    <x v="0"/>
    <x v="94"/>
    <x v="94"/>
    <x v="3"/>
    <x v="3"/>
  </r>
  <r>
    <s v="ORD1098"/>
    <s v="2025-10-22"/>
    <s v="Aditya Patel"/>
    <s v="Female"/>
    <n v="37"/>
    <s v="Hyderabad"/>
    <x v="3"/>
    <x v="1"/>
    <x v="16"/>
    <n v="7"/>
    <n v="2475"/>
    <x v="3"/>
    <x v="95"/>
    <x v="95"/>
    <x v="2"/>
    <x v="1"/>
  </r>
  <r>
    <s v="ORD1099"/>
    <s v="2025-10-25"/>
    <s v="Ishita Sharma"/>
    <s v="Female"/>
    <n v="23"/>
    <s v="Mysuru"/>
    <x v="1"/>
    <x v="2"/>
    <x v="18"/>
    <n v="6"/>
    <n v="1680"/>
    <x v="3"/>
    <x v="96"/>
    <x v="96"/>
    <x v="3"/>
    <x v="2"/>
  </r>
  <r>
    <s v="ORD1100"/>
    <s v="2025-10-28"/>
    <s v="Diya Kumar"/>
    <s v="Female"/>
    <n v="20"/>
    <s v="Pune"/>
    <x v="2"/>
    <x v="1"/>
    <x v="16"/>
    <n v="4"/>
    <n v="4290"/>
    <x v="0"/>
    <x v="97"/>
    <x v="97"/>
    <x v="2"/>
    <x v="3"/>
  </r>
  <r>
    <s v="ORD1101"/>
    <s v="2025-10-31"/>
    <s v="Pooja Poojary"/>
    <s v="Female"/>
    <n v="49"/>
    <s v="Jaipur"/>
    <x v="0"/>
    <x v="1"/>
    <x v="2"/>
    <n v="5"/>
    <n v="910"/>
    <x v="0"/>
    <x v="98"/>
    <x v="98"/>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7C20B-E46E-485F-BA11-459DAF6B613A}"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91:B96" firstHeaderRow="1" firstDataRow="1" firstDataCol="1"/>
  <pivotFields count="16">
    <pivotField showAll="0"/>
    <pivotField showAll="0"/>
    <pivotField showAll="0"/>
    <pivotField showAll="0"/>
    <pivotField showAll="0"/>
    <pivotField showAll="0"/>
    <pivotField showAll="0">
      <items count="8">
        <item x="5"/>
        <item x="1"/>
        <item x="2"/>
        <item x="0"/>
        <item x="4"/>
        <item x="3"/>
        <item x="6"/>
        <item t="default"/>
      </items>
    </pivotField>
    <pivotField showAll="0">
      <items count="5">
        <item x="1"/>
        <item x="2"/>
        <item x="0"/>
        <item x="3"/>
        <item t="default"/>
      </items>
    </pivotField>
    <pivotField showAll="0"/>
    <pivotField showAll="0"/>
    <pivotField showAll="0"/>
    <pivotField axis="axisRow" showAll="0">
      <items count="5">
        <item x="1"/>
        <item x="0"/>
        <item x="3"/>
        <item x="2"/>
        <item t="default"/>
      </items>
    </pivotField>
    <pivotField dataField="1" showAll="0">
      <items count="100">
        <item x="75"/>
        <item x="63"/>
        <item x="84"/>
        <item x="37"/>
        <item x="21"/>
        <item x="65"/>
        <item x="87"/>
        <item x="92"/>
        <item x="20"/>
        <item x="27"/>
        <item x="49"/>
        <item x="78"/>
        <item x="81"/>
        <item x="30"/>
        <item x="61"/>
        <item x="54"/>
        <item x="69"/>
        <item x="40"/>
        <item x="10"/>
        <item x="74"/>
        <item x="60"/>
        <item x="8"/>
        <item x="64"/>
        <item x="83"/>
        <item x="1"/>
        <item x="93"/>
        <item x="98"/>
        <item x="73"/>
        <item x="15"/>
        <item x="38"/>
        <item x="44"/>
        <item x="62"/>
        <item x="46"/>
        <item x="6"/>
        <item x="29"/>
        <item x="5"/>
        <item x="0"/>
        <item x="23"/>
        <item x="4"/>
        <item x="91"/>
        <item x="36"/>
        <item x="25"/>
        <item x="88"/>
        <item x="13"/>
        <item x="82"/>
        <item x="71"/>
        <item x="52"/>
        <item x="3"/>
        <item x="18"/>
        <item x="59"/>
        <item x="39"/>
        <item x="50"/>
        <item x="57"/>
        <item x="96"/>
        <item x="70"/>
        <item x="32"/>
        <item x="35"/>
        <item x="47"/>
        <item x="48"/>
        <item x="51"/>
        <item x="67"/>
        <item x="16"/>
        <item x="89"/>
        <item x="80"/>
        <item x="11"/>
        <item x="42"/>
        <item x="55"/>
        <item x="2"/>
        <item x="58"/>
        <item x="86"/>
        <item x="90"/>
        <item x="33"/>
        <item x="77"/>
        <item x="9"/>
        <item x="95"/>
        <item x="97"/>
        <item x="68"/>
        <item x="28"/>
        <item x="19"/>
        <item x="45"/>
        <item x="17"/>
        <item x="43"/>
        <item x="22"/>
        <item x="34"/>
        <item x="24"/>
        <item x="41"/>
        <item x="7"/>
        <item x="94"/>
        <item x="53"/>
        <item x="14"/>
        <item x="56"/>
        <item x="76"/>
        <item x="72"/>
        <item x="85"/>
        <item x="79"/>
        <item x="31"/>
        <item x="66"/>
        <item x="12"/>
        <item x="26"/>
        <item t="default"/>
      </items>
    </pivotField>
    <pivotField showAll="0"/>
    <pivotField showAll="0">
      <items count="5">
        <item x="1"/>
        <item x="3"/>
        <item x="2"/>
        <item x="0"/>
        <item t="default"/>
      </items>
    </pivotField>
    <pivotField showAll="0">
      <items count="5">
        <item x="3"/>
        <item x="1"/>
        <item x="0"/>
        <item x="2"/>
        <item t="default"/>
      </items>
    </pivotField>
  </pivotFields>
  <rowFields count="1">
    <field x="11"/>
  </rowFields>
  <rowItems count="5">
    <i>
      <x/>
    </i>
    <i>
      <x v="1"/>
    </i>
    <i>
      <x v="2"/>
    </i>
    <i>
      <x v="3"/>
    </i>
    <i t="grand">
      <x/>
    </i>
  </rowItems>
  <colItems count="1">
    <i/>
  </colItems>
  <dataFields count="1">
    <dataField name="Sum of Sales" fld="12" baseField="0" baseItem="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494949-F10B-45D0-9A8B-5E3989ED6677}"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49:B70" firstHeaderRow="1" firstDataRow="1" firstDataCol="1"/>
  <pivotFields count="16">
    <pivotField showAll="0"/>
    <pivotField showAll="0"/>
    <pivotField showAll="0"/>
    <pivotField showAll="0"/>
    <pivotField showAll="0"/>
    <pivotField showAll="0"/>
    <pivotField showAll="0">
      <items count="8">
        <item x="5"/>
        <item x="1"/>
        <item x="2"/>
        <item x="0"/>
        <item x="4"/>
        <item x="3"/>
        <item x="6"/>
        <item t="default"/>
      </items>
    </pivotField>
    <pivotField showAll="0">
      <items count="5">
        <item x="1"/>
        <item x="2"/>
        <item x="0"/>
        <item x="3"/>
        <item t="default"/>
      </items>
    </pivotField>
    <pivotField axis="axisRow" showAll="0">
      <items count="21">
        <item x="4"/>
        <item x="15"/>
        <item x="10"/>
        <item x="11"/>
        <item x="2"/>
        <item x="8"/>
        <item x="17"/>
        <item x="1"/>
        <item x="13"/>
        <item x="12"/>
        <item x="0"/>
        <item x="6"/>
        <item x="18"/>
        <item x="7"/>
        <item x="16"/>
        <item x="9"/>
        <item x="14"/>
        <item x="3"/>
        <item x="19"/>
        <item x="5"/>
        <item t="default"/>
      </items>
    </pivotField>
    <pivotField dataField="1" showAll="0"/>
    <pivotField showAll="0"/>
    <pivotField showAll="0"/>
    <pivotField showAll="0"/>
    <pivotField showAll="0"/>
    <pivotField showAll="0">
      <items count="5">
        <item x="1"/>
        <item x="3"/>
        <item x="2"/>
        <item x="0"/>
        <item t="default"/>
      </items>
    </pivotField>
    <pivotField showAll="0">
      <items count="5">
        <item x="3"/>
        <item x="1"/>
        <item x="0"/>
        <item x="2"/>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fld="9" baseField="0" baseItem="0"/>
  </dataFields>
  <chartFormats count="42">
    <chartFormat chart="2" format="0"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8" count="1" selected="0">
            <x v="0"/>
          </reference>
        </references>
      </pivotArea>
    </chartFormat>
    <chartFormat chart="6" format="24">
      <pivotArea type="data" outline="0" fieldPosition="0">
        <references count="2">
          <reference field="4294967294" count="1" selected="0">
            <x v="0"/>
          </reference>
          <reference field="8" count="1" selected="0">
            <x v="1"/>
          </reference>
        </references>
      </pivotArea>
    </chartFormat>
    <chartFormat chart="6" format="25">
      <pivotArea type="data" outline="0" fieldPosition="0">
        <references count="2">
          <reference field="4294967294" count="1" selected="0">
            <x v="0"/>
          </reference>
          <reference field="8" count="1" selected="0">
            <x v="2"/>
          </reference>
        </references>
      </pivotArea>
    </chartFormat>
    <chartFormat chart="6" format="26">
      <pivotArea type="data" outline="0" fieldPosition="0">
        <references count="2">
          <reference field="4294967294" count="1" selected="0">
            <x v="0"/>
          </reference>
          <reference field="8" count="1" selected="0">
            <x v="3"/>
          </reference>
        </references>
      </pivotArea>
    </chartFormat>
    <chartFormat chart="6" format="27">
      <pivotArea type="data" outline="0" fieldPosition="0">
        <references count="2">
          <reference field="4294967294" count="1" selected="0">
            <x v="0"/>
          </reference>
          <reference field="8" count="1" selected="0">
            <x v="4"/>
          </reference>
        </references>
      </pivotArea>
    </chartFormat>
    <chartFormat chart="6" format="28">
      <pivotArea type="data" outline="0" fieldPosition="0">
        <references count="2">
          <reference field="4294967294" count="1" selected="0">
            <x v="0"/>
          </reference>
          <reference field="8" count="1" selected="0">
            <x v="5"/>
          </reference>
        </references>
      </pivotArea>
    </chartFormat>
    <chartFormat chart="6" format="29">
      <pivotArea type="data" outline="0" fieldPosition="0">
        <references count="2">
          <reference field="4294967294" count="1" selected="0">
            <x v="0"/>
          </reference>
          <reference field="8" count="1" selected="0">
            <x v="6"/>
          </reference>
        </references>
      </pivotArea>
    </chartFormat>
    <chartFormat chart="6" format="30">
      <pivotArea type="data" outline="0" fieldPosition="0">
        <references count="2">
          <reference field="4294967294" count="1" selected="0">
            <x v="0"/>
          </reference>
          <reference field="8" count="1" selected="0">
            <x v="7"/>
          </reference>
        </references>
      </pivotArea>
    </chartFormat>
    <chartFormat chart="6" format="31">
      <pivotArea type="data" outline="0" fieldPosition="0">
        <references count="2">
          <reference field="4294967294" count="1" selected="0">
            <x v="0"/>
          </reference>
          <reference field="8" count="1" selected="0">
            <x v="8"/>
          </reference>
        </references>
      </pivotArea>
    </chartFormat>
    <chartFormat chart="6" format="32">
      <pivotArea type="data" outline="0" fieldPosition="0">
        <references count="2">
          <reference field="4294967294" count="1" selected="0">
            <x v="0"/>
          </reference>
          <reference field="8" count="1" selected="0">
            <x v="9"/>
          </reference>
        </references>
      </pivotArea>
    </chartFormat>
    <chartFormat chart="6" format="33">
      <pivotArea type="data" outline="0" fieldPosition="0">
        <references count="2">
          <reference field="4294967294" count="1" selected="0">
            <x v="0"/>
          </reference>
          <reference field="8" count="1" selected="0">
            <x v="10"/>
          </reference>
        </references>
      </pivotArea>
    </chartFormat>
    <chartFormat chart="6" format="34">
      <pivotArea type="data" outline="0" fieldPosition="0">
        <references count="2">
          <reference field="4294967294" count="1" selected="0">
            <x v="0"/>
          </reference>
          <reference field="8" count="1" selected="0">
            <x v="11"/>
          </reference>
        </references>
      </pivotArea>
    </chartFormat>
    <chartFormat chart="6" format="35">
      <pivotArea type="data" outline="0" fieldPosition="0">
        <references count="2">
          <reference field="4294967294" count="1" selected="0">
            <x v="0"/>
          </reference>
          <reference field="8" count="1" selected="0">
            <x v="12"/>
          </reference>
        </references>
      </pivotArea>
    </chartFormat>
    <chartFormat chart="6" format="36">
      <pivotArea type="data" outline="0" fieldPosition="0">
        <references count="2">
          <reference field="4294967294" count="1" selected="0">
            <x v="0"/>
          </reference>
          <reference field="8" count="1" selected="0">
            <x v="13"/>
          </reference>
        </references>
      </pivotArea>
    </chartFormat>
    <chartFormat chart="6" format="37">
      <pivotArea type="data" outline="0" fieldPosition="0">
        <references count="2">
          <reference field="4294967294" count="1" selected="0">
            <x v="0"/>
          </reference>
          <reference field="8" count="1" selected="0">
            <x v="14"/>
          </reference>
        </references>
      </pivotArea>
    </chartFormat>
    <chartFormat chart="6" format="38">
      <pivotArea type="data" outline="0" fieldPosition="0">
        <references count="2">
          <reference field="4294967294" count="1" selected="0">
            <x v="0"/>
          </reference>
          <reference field="8" count="1" selected="0">
            <x v="15"/>
          </reference>
        </references>
      </pivotArea>
    </chartFormat>
    <chartFormat chart="6" format="39">
      <pivotArea type="data" outline="0" fieldPosition="0">
        <references count="2">
          <reference field="4294967294" count="1" selected="0">
            <x v="0"/>
          </reference>
          <reference field="8" count="1" selected="0">
            <x v="16"/>
          </reference>
        </references>
      </pivotArea>
    </chartFormat>
    <chartFormat chart="6" format="40">
      <pivotArea type="data" outline="0" fieldPosition="0">
        <references count="2">
          <reference field="4294967294" count="1" selected="0">
            <x v="0"/>
          </reference>
          <reference field="8" count="1" selected="0">
            <x v="17"/>
          </reference>
        </references>
      </pivotArea>
    </chartFormat>
    <chartFormat chart="6" format="41">
      <pivotArea type="data" outline="0" fieldPosition="0">
        <references count="2">
          <reference field="4294967294" count="1" selected="0">
            <x v="0"/>
          </reference>
          <reference field="8" count="1" selected="0">
            <x v="18"/>
          </reference>
        </references>
      </pivotArea>
    </chartFormat>
    <chartFormat chart="6" format="42">
      <pivotArea type="data" outline="0" fieldPosition="0">
        <references count="2">
          <reference field="4294967294" count="1" selected="0">
            <x v="0"/>
          </reference>
          <reference field="8" count="1" selected="0">
            <x v="19"/>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4"/>
          </reference>
        </references>
      </pivotArea>
    </chartFormat>
    <chartFormat chart="2" format="6">
      <pivotArea type="data" outline="0" fieldPosition="0">
        <references count="2">
          <reference field="4294967294" count="1" selected="0">
            <x v="0"/>
          </reference>
          <reference field="8" count="1" selected="0">
            <x v="5"/>
          </reference>
        </references>
      </pivotArea>
    </chartFormat>
    <chartFormat chart="2" format="7">
      <pivotArea type="data" outline="0" fieldPosition="0">
        <references count="2">
          <reference field="4294967294" count="1" selected="0">
            <x v="0"/>
          </reference>
          <reference field="8" count="1" selected="0">
            <x v="6"/>
          </reference>
        </references>
      </pivotArea>
    </chartFormat>
    <chartFormat chart="2" format="8">
      <pivotArea type="data" outline="0" fieldPosition="0">
        <references count="2">
          <reference field="4294967294" count="1" selected="0">
            <x v="0"/>
          </reference>
          <reference field="8" count="1" selected="0">
            <x v="7"/>
          </reference>
        </references>
      </pivotArea>
    </chartFormat>
    <chartFormat chart="2" format="9">
      <pivotArea type="data" outline="0" fieldPosition="0">
        <references count="2">
          <reference field="4294967294" count="1" selected="0">
            <x v="0"/>
          </reference>
          <reference field="8" count="1" selected="0">
            <x v="8"/>
          </reference>
        </references>
      </pivotArea>
    </chartFormat>
    <chartFormat chart="2" format="10">
      <pivotArea type="data" outline="0" fieldPosition="0">
        <references count="2">
          <reference field="4294967294" count="1" selected="0">
            <x v="0"/>
          </reference>
          <reference field="8" count="1" selected="0">
            <x v="9"/>
          </reference>
        </references>
      </pivotArea>
    </chartFormat>
    <chartFormat chart="2" format="11">
      <pivotArea type="data" outline="0" fieldPosition="0">
        <references count="2">
          <reference field="4294967294" count="1" selected="0">
            <x v="0"/>
          </reference>
          <reference field="8" count="1" selected="0">
            <x v="10"/>
          </reference>
        </references>
      </pivotArea>
    </chartFormat>
    <chartFormat chart="2" format="12">
      <pivotArea type="data" outline="0" fieldPosition="0">
        <references count="2">
          <reference field="4294967294" count="1" selected="0">
            <x v="0"/>
          </reference>
          <reference field="8" count="1" selected="0">
            <x v="11"/>
          </reference>
        </references>
      </pivotArea>
    </chartFormat>
    <chartFormat chart="2" format="13">
      <pivotArea type="data" outline="0" fieldPosition="0">
        <references count="2">
          <reference field="4294967294" count="1" selected="0">
            <x v="0"/>
          </reference>
          <reference field="8" count="1" selected="0">
            <x v="12"/>
          </reference>
        </references>
      </pivotArea>
    </chartFormat>
    <chartFormat chart="2" format="14">
      <pivotArea type="data" outline="0" fieldPosition="0">
        <references count="2">
          <reference field="4294967294" count="1" selected="0">
            <x v="0"/>
          </reference>
          <reference field="8" count="1" selected="0">
            <x v="13"/>
          </reference>
        </references>
      </pivotArea>
    </chartFormat>
    <chartFormat chart="2" format="15">
      <pivotArea type="data" outline="0" fieldPosition="0">
        <references count="2">
          <reference field="4294967294" count="1" selected="0">
            <x v="0"/>
          </reference>
          <reference field="8" count="1" selected="0">
            <x v="14"/>
          </reference>
        </references>
      </pivotArea>
    </chartFormat>
    <chartFormat chart="2" format="16">
      <pivotArea type="data" outline="0" fieldPosition="0">
        <references count="2">
          <reference field="4294967294" count="1" selected="0">
            <x v="0"/>
          </reference>
          <reference field="8" count="1" selected="0">
            <x v="15"/>
          </reference>
        </references>
      </pivotArea>
    </chartFormat>
    <chartFormat chart="2" format="17">
      <pivotArea type="data" outline="0" fieldPosition="0">
        <references count="2">
          <reference field="4294967294" count="1" selected="0">
            <x v="0"/>
          </reference>
          <reference field="8" count="1" selected="0">
            <x v="16"/>
          </reference>
        </references>
      </pivotArea>
    </chartFormat>
    <chartFormat chart="2" format="18">
      <pivotArea type="data" outline="0" fieldPosition="0">
        <references count="2">
          <reference field="4294967294" count="1" selected="0">
            <x v="0"/>
          </reference>
          <reference field="8" count="1" selected="0">
            <x v="17"/>
          </reference>
        </references>
      </pivotArea>
    </chartFormat>
    <chartFormat chart="2" format="19">
      <pivotArea type="data" outline="0" fieldPosition="0">
        <references count="2">
          <reference field="4294967294" count="1" selected="0">
            <x v="0"/>
          </reference>
          <reference field="8" count="1" selected="0">
            <x v="18"/>
          </reference>
        </references>
      </pivotArea>
    </chartFormat>
    <chartFormat chart="2" format="20">
      <pivotArea type="data" outline="0" fieldPosition="0">
        <references count="2">
          <reference field="4294967294" count="1" selected="0">
            <x v="0"/>
          </reference>
          <reference field="8"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FCCD0-CC83-47DA-B932-F78E462D41C1}"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73:B78" firstHeaderRow="1" firstDataRow="1" firstDataCol="1"/>
  <pivotFields count="16">
    <pivotField dataField="1" showAll="0"/>
    <pivotField showAll="0"/>
    <pivotField showAll="0"/>
    <pivotField showAll="0"/>
    <pivotField showAll="0"/>
    <pivotField showAll="0"/>
    <pivotField showAll="0">
      <items count="8">
        <item x="5"/>
        <item x="1"/>
        <item x="2"/>
        <item x="0"/>
        <item x="4"/>
        <item x="3"/>
        <item x="6"/>
        <item t="default"/>
      </items>
    </pivotField>
    <pivotField showAll="0">
      <items count="5">
        <item x="1"/>
        <item x="2"/>
        <item x="0"/>
        <item x="3"/>
        <item t="default"/>
      </items>
    </pivotField>
    <pivotField showAll="0"/>
    <pivotField showAll="0"/>
    <pivotField showAll="0"/>
    <pivotField showAll="0"/>
    <pivotField showAll="0"/>
    <pivotField showAll="0"/>
    <pivotField showAll="0">
      <items count="5">
        <item x="1"/>
        <item x="3"/>
        <item x="2"/>
        <item x="0"/>
        <item t="default"/>
      </items>
    </pivotField>
    <pivotField axis="axisRow" showAll="0">
      <items count="5">
        <item x="3"/>
        <item x="1"/>
        <item x="0"/>
        <item x="2"/>
        <item t="default"/>
      </items>
    </pivotField>
  </pivotFields>
  <rowFields count="1">
    <field x="15"/>
  </rowFields>
  <rowItems count="5">
    <i>
      <x/>
    </i>
    <i>
      <x v="1"/>
    </i>
    <i>
      <x v="2"/>
    </i>
    <i>
      <x v="3"/>
    </i>
    <i t="grand">
      <x/>
    </i>
  </rowItems>
  <colItems count="1">
    <i/>
  </colItems>
  <dataFields count="1">
    <dataField name="Count of Order_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583A8-DF5C-4474-9653-A36CA4A12494}"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9:B44" firstHeaderRow="1" firstDataRow="1" firstDataCol="1"/>
  <pivotFields count="16">
    <pivotField dataField="1" showAll="0"/>
    <pivotField showAll="0"/>
    <pivotField showAll="0"/>
    <pivotField showAll="0"/>
    <pivotField showAll="0"/>
    <pivotField showAll="0"/>
    <pivotField showAll="0">
      <items count="8">
        <item x="5"/>
        <item x="1"/>
        <item x="2"/>
        <item x="0"/>
        <item x="4"/>
        <item x="3"/>
        <item x="6"/>
        <item t="default"/>
      </items>
    </pivotField>
    <pivotField showAll="0">
      <items count="5">
        <item x="1"/>
        <item x="2"/>
        <item x="0"/>
        <item x="3"/>
        <item t="default"/>
      </items>
    </pivotField>
    <pivotField showAll="0"/>
    <pivotField showAll="0"/>
    <pivotField showAll="0"/>
    <pivotField showAll="0"/>
    <pivotField showAll="0"/>
    <pivotField showAll="0"/>
    <pivotField axis="axisRow" showAll="0">
      <items count="5">
        <item x="1"/>
        <item x="3"/>
        <item x="2"/>
        <item x="0"/>
        <item t="default"/>
      </items>
    </pivotField>
    <pivotField showAll="0">
      <items count="5">
        <item x="3"/>
        <item x="1"/>
        <item x="0"/>
        <item x="2"/>
        <item t="default"/>
      </items>
    </pivotField>
  </pivotFields>
  <rowFields count="1">
    <field x="14"/>
  </rowFields>
  <rowItems count="5">
    <i>
      <x/>
    </i>
    <i>
      <x v="1"/>
    </i>
    <i>
      <x v="2"/>
    </i>
    <i>
      <x v="3"/>
    </i>
    <i t="grand">
      <x/>
    </i>
  </rowItems>
  <colItems count="1">
    <i/>
  </colItems>
  <dataFields count="1">
    <dataField name="Count of Order_ID" fld="0" subtotal="count" baseField="0" baseItem="0"/>
  </dataFields>
  <chartFormats count="16">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4" count="1" selected="0">
            <x v="0"/>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2"/>
          </reference>
        </references>
      </pivotArea>
    </chartFormat>
    <chartFormat chart="6" format="10">
      <pivotArea type="data" outline="0" fieldPosition="0">
        <references count="2">
          <reference field="4294967294" count="1" selected="0">
            <x v="0"/>
          </reference>
          <reference field="14" count="1" selected="0">
            <x v="3"/>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6"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2"/>
          </reference>
        </references>
      </pivotArea>
    </chartFormat>
    <chartFormat chart="6" format="13" series="1">
      <pivotArea type="data" outline="0" fieldPosition="0">
        <references count="2">
          <reference field="4294967294" count="1" selected="0">
            <x v="0"/>
          </reference>
          <reference field="14" count="1" selected="0">
            <x v="3"/>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2">
          <reference field="4294967294" count="1" selected="0">
            <x v="0"/>
          </reference>
          <reference field="14" count="1" selected="0">
            <x v="2"/>
          </reference>
        </references>
      </pivotArea>
    </chartFormat>
    <chartFormat chart="2"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CE716-5916-4A5F-B4E6-382B296C1B33}"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A23:B31" firstHeaderRow="1" firstDataRow="1" firstDataCol="1"/>
  <pivotFields count="16">
    <pivotField showAll="0"/>
    <pivotField showAll="0"/>
    <pivotField showAll="0"/>
    <pivotField showAll="0"/>
    <pivotField showAll="0"/>
    <pivotField showAll="0"/>
    <pivotField axis="axisRow" showAll="0">
      <items count="8">
        <item x="5"/>
        <item x="1"/>
        <item x="2"/>
        <item x="0"/>
        <item x="4"/>
        <item x="3"/>
        <item x="6"/>
        <item t="default"/>
      </items>
    </pivotField>
    <pivotField showAll="0">
      <items count="5">
        <item x="1"/>
        <item x="2"/>
        <item x="0"/>
        <item x="3"/>
        <item t="default"/>
      </items>
    </pivotField>
    <pivotField showAll="0"/>
    <pivotField showAll="0"/>
    <pivotField showAll="0"/>
    <pivotField showAll="0"/>
    <pivotField showAll="0"/>
    <pivotField dataField="1" showAll="0">
      <items count="100">
        <item x="75"/>
        <item x="63"/>
        <item x="84"/>
        <item x="37"/>
        <item x="21"/>
        <item x="65"/>
        <item x="87"/>
        <item x="92"/>
        <item x="20"/>
        <item x="27"/>
        <item x="49"/>
        <item x="78"/>
        <item x="81"/>
        <item x="30"/>
        <item x="61"/>
        <item x="54"/>
        <item x="69"/>
        <item x="40"/>
        <item x="10"/>
        <item x="74"/>
        <item x="60"/>
        <item x="8"/>
        <item x="64"/>
        <item x="83"/>
        <item x="1"/>
        <item x="93"/>
        <item x="98"/>
        <item x="73"/>
        <item x="15"/>
        <item x="38"/>
        <item x="44"/>
        <item x="62"/>
        <item x="46"/>
        <item x="6"/>
        <item x="29"/>
        <item x="5"/>
        <item x="0"/>
        <item x="23"/>
        <item x="4"/>
        <item x="91"/>
        <item x="36"/>
        <item x="25"/>
        <item x="88"/>
        <item x="13"/>
        <item x="82"/>
        <item x="71"/>
        <item x="52"/>
        <item x="3"/>
        <item x="18"/>
        <item x="59"/>
        <item x="39"/>
        <item x="50"/>
        <item x="57"/>
        <item x="96"/>
        <item x="70"/>
        <item x="32"/>
        <item x="35"/>
        <item x="47"/>
        <item x="48"/>
        <item x="51"/>
        <item x="67"/>
        <item x="16"/>
        <item x="89"/>
        <item x="80"/>
        <item x="11"/>
        <item x="42"/>
        <item x="55"/>
        <item x="2"/>
        <item x="58"/>
        <item x="86"/>
        <item x="90"/>
        <item x="33"/>
        <item x="77"/>
        <item x="9"/>
        <item x="95"/>
        <item x="97"/>
        <item x="68"/>
        <item x="28"/>
        <item x="19"/>
        <item x="45"/>
        <item x="17"/>
        <item x="43"/>
        <item x="22"/>
        <item x="34"/>
        <item x="24"/>
        <item x="41"/>
        <item x="7"/>
        <item x="94"/>
        <item x="53"/>
        <item x="14"/>
        <item x="56"/>
        <item x="76"/>
        <item x="72"/>
        <item x="85"/>
        <item x="79"/>
        <item x="31"/>
        <item x="66"/>
        <item x="12"/>
        <item x="26"/>
        <item t="default"/>
      </items>
    </pivotField>
    <pivotField showAll="0">
      <items count="5">
        <item x="1"/>
        <item x="3"/>
        <item x="2"/>
        <item x="0"/>
        <item t="default"/>
      </items>
    </pivotField>
    <pivotField showAll="0">
      <items count="5">
        <item x="3"/>
        <item x="1"/>
        <item x="0"/>
        <item x="2"/>
        <item t="default"/>
      </items>
    </pivotField>
  </pivotFields>
  <rowFields count="1">
    <field x="6"/>
  </rowFields>
  <rowItems count="8">
    <i>
      <x/>
    </i>
    <i>
      <x v="1"/>
    </i>
    <i>
      <x v="2"/>
    </i>
    <i>
      <x v="3"/>
    </i>
    <i>
      <x v="4"/>
    </i>
    <i>
      <x v="5"/>
    </i>
    <i>
      <x v="6"/>
    </i>
    <i t="grand">
      <x/>
    </i>
  </rowItems>
  <colItems count="1">
    <i/>
  </colItems>
  <dataFields count="1">
    <dataField name="Sum of Profit" fld="13" baseField="0" baseItem="0"/>
  </dataFields>
  <chartFormats count="21">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2">
          <reference field="4294967294" count="1" selected="0">
            <x v="0"/>
          </reference>
          <reference field="6" count="1" selected="0">
            <x v="1"/>
          </reference>
        </references>
      </pivotArea>
    </chartFormat>
    <chartFormat chart="13" format="4" series="1">
      <pivotArea type="data" outline="0" fieldPosition="0">
        <references count="2">
          <reference field="4294967294" count="1" selected="0">
            <x v="0"/>
          </reference>
          <reference field="6" count="1" selected="0">
            <x v="2"/>
          </reference>
        </references>
      </pivotArea>
    </chartFormat>
    <chartFormat chart="13" format="5" series="1">
      <pivotArea type="data" outline="0" fieldPosition="0">
        <references count="2">
          <reference field="4294967294" count="1" selected="0">
            <x v="0"/>
          </reference>
          <reference field="6" count="1" selected="0">
            <x v="3"/>
          </reference>
        </references>
      </pivotArea>
    </chartFormat>
    <chartFormat chart="13" format="6" series="1">
      <pivotArea type="data" outline="0" fieldPosition="0">
        <references count="2">
          <reference field="4294967294" count="1" selected="0">
            <x v="0"/>
          </reference>
          <reference field="6" count="1" selected="0">
            <x v="4"/>
          </reference>
        </references>
      </pivotArea>
    </chartFormat>
    <chartFormat chart="13" format="7" series="1">
      <pivotArea type="data" outline="0" fieldPosition="0">
        <references count="2">
          <reference field="4294967294" count="1" selected="0">
            <x v="0"/>
          </reference>
          <reference field="6" count="1" selected="0">
            <x v="5"/>
          </reference>
        </references>
      </pivotArea>
    </chartFormat>
    <chartFormat chart="13" format="8" series="1">
      <pivotArea type="data" outline="0" fieldPosition="0">
        <references count="2">
          <reference field="4294967294" count="1" selected="0">
            <x v="0"/>
          </reference>
          <reference field="6" count="1" selected="0">
            <x v="6"/>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8" format="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5"/>
          </reference>
        </references>
      </pivotArea>
    </chartFormat>
    <chartFormat chart="8" format="6" series="1">
      <pivotArea type="data" outline="0" fieldPosition="0">
        <references count="2">
          <reference field="4294967294" count="1" selected="0">
            <x v="0"/>
          </reference>
          <reference field="6" count="1" selected="0">
            <x v="6"/>
          </reference>
        </references>
      </pivotArea>
    </chartFormat>
    <chartFormat chart="13" format="9">
      <pivotArea type="data" outline="0" fieldPosition="0">
        <references count="2">
          <reference field="4294967294" count="1" selected="0">
            <x v="0"/>
          </reference>
          <reference field="6" count="1" selected="0">
            <x v="5"/>
          </reference>
        </references>
      </pivotArea>
    </chartFormat>
    <chartFormat chart="13" format="10">
      <pivotArea type="data" outline="0" fieldPosition="0">
        <references count="2">
          <reference field="4294967294" count="1" selected="0">
            <x v="0"/>
          </reference>
          <reference field="6" count="1" selected="0">
            <x v="4"/>
          </reference>
        </references>
      </pivotArea>
    </chartFormat>
    <chartFormat chart="13" format="11">
      <pivotArea type="data" outline="0" fieldPosition="0">
        <references count="2">
          <reference field="4294967294" count="1" selected="0">
            <x v="0"/>
          </reference>
          <reference field="6" count="1" selected="0">
            <x v="6"/>
          </reference>
        </references>
      </pivotArea>
    </chartFormat>
    <chartFormat chart="13" format="12">
      <pivotArea type="data" outline="0" fieldPosition="0">
        <references count="2">
          <reference field="4294967294" count="1" selected="0">
            <x v="0"/>
          </reference>
          <reference field="6" count="1" selected="0">
            <x v="3"/>
          </reference>
        </references>
      </pivotArea>
    </chartFormat>
    <chartFormat chart="13" format="13">
      <pivotArea type="data" outline="0" fieldPosition="0">
        <references count="2">
          <reference field="4294967294" count="1" selected="0">
            <x v="0"/>
          </reference>
          <reference field="6" count="1" selected="0">
            <x v="2"/>
          </reference>
        </references>
      </pivotArea>
    </chartFormat>
    <chartFormat chart="13" format="14">
      <pivotArea type="data" outline="0" fieldPosition="0">
        <references count="2">
          <reference field="4294967294" count="1" selected="0">
            <x v="0"/>
          </reference>
          <reference field="6" count="1" selected="0">
            <x v="1"/>
          </reference>
        </references>
      </pivotArea>
    </chartFormat>
    <chartFormat chart="13" format="1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CB5785-0A6E-4F0F-8F5D-6C8B0B6B312E}"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5">
  <location ref="A7:B12" firstHeaderRow="1" firstDataRow="1" firstDataCol="1"/>
  <pivotFields count="16">
    <pivotField showAll="0"/>
    <pivotField showAll="0"/>
    <pivotField showAll="0"/>
    <pivotField showAll="0"/>
    <pivotField showAll="0"/>
    <pivotField showAll="0"/>
    <pivotField showAll="0">
      <items count="8">
        <item x="5"/>
        <item x="1"/>
        <item x="2"/>
        <item x="0"/>
        <item x="4"/>
        <item x="3"/>
        <item x="6"/>
        <item t="default"/>
      </items>
    </pivotField>
    <pivotField axis="axisRow" showAll="0">
      <items count="5">
        <item x="1"/>
        <item x="2"/>
        <item x="0"/>
        <item x="3"/>
        <item t="default"/>
      </items>
    </pivotField>
    <pivotField showAll="0"/>
    <pivotField showAll="0"/>
    <pivotField showAll="0"/>
    <pivotField showAll="0"/>
    <pivotField dataField="1" showAll="0"/>
    <pivotField showAll="0"/>
    <pivotField showAll="0">
      <items count="5">
        <item x="1"/>
        <item x="3"/>
        <item x="2"/>
        <item x="0"/>
        <item t="default"/>
      </items>
    </pivotField>
    <pivotField showAll="0">
      <items count="5">
        <item x="3"/>
        <item x="1"/>
        <item x="0"/>
        <item x="2"/>
        <item t="default"/>
      </items>
    </pivotField>
  </pivotFields>
  <rowFields count="1">
    <field x="7"/>
  </rowFields>
  <rowItems count="5">
    <i>
      <x/>
    </i>
    <i>
      <x v="1"/>
    </i>
    <i>
      <x v="2"/>
    </i>
    <i>
      <x v="3"/>
    </i>
    <i t="grand">
      <x/>
    </i>
  </rowItems>
  <colItems count="1">
    <i/>
  </colItems>
  <dataFields count="1">
    <dataField name="Sum of Sales" fld="12" baseField="0" baseItem="0"/>
  </dataFields>
  <chartFormats count="13">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7" count="1" selected="0">
            <x v="0"/>
          </reference>
        </references>
      </pivotArea>
    </chartFormat>
    <chartFormat chart="34" format="4" series="1">
      <pivotArea type="data" outline="0" fieldPosition="0">
        <references count="2">
          <reference field="4294967294" count="1" selected="0">
            <x v="0"/>
          </reference>
          <reference field="7" count="1" selected="0">
            <x v="1"/>
          </reference>
        </references>
      </pivotArea>
    </chartFormat>
    <chartFormat chart="34" format="5" series="1">
      <pivotArea type="data" outline="0" fieldPosition="0">
        <references count="2">
          <reference field="4294967294" count="1" selected="0">
            <x v="0"/>
          </reference>
          <reference field="7" count="1" selected="0">
            <x v="2"/>
          </reference>
        </references>
      </pivotArea>
    </chartFormat>
    <chartFormat chart="34" format="6" series="1">
      <pivotArea type="data" outline="0" fieldPosition="0">
        <references count="2">
          <reference field="4294967294" count="1" selected="0">
            <x v="0"/>
          </reference>
          <reference field="7" count="1" selected="0">
            <x v="3"/>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4" format="9">
      <pivotArea type="data" outline="0" fieldPosition="0">
        <references count="2">
          <reference field="4294967294" count="1" selected="0">
            <x v="0"/>
          </reference>
          <reference field="7" count="1" selected="0">
            <x v="3"/>
          </reference>
        </references>
      </pivotArea>
    </chartFormat>
    <chartFormat chart="44" format="15" series="1">
      <pivotArea type="data" outline="0" fieldPosition="0">
        <references count="1">
          <reference field="4294967294" count="1" selected="0">
            <x v="0"/>
          </reference>
        </references>
      </pivotArea>
    </chartFormat>
    <chartFormat chart="44" format="16">
      <pivotArea type="data" outline="0" fieldPosition="0">
        <references count="2">
          <reference field="4294967294" count="1" selected="0">
            <x v="0"/>
          </reference>
          <reference field="7" count="1" selected="0">
            <x v="0"/>
          </reference>
        </references>
      </pivotArea>
    </chartFormat>
    <chartFormat chart="44" format="17">
      <pivotArea type="data" outline="0" fieldPosition="0">
        <references count="2">
          <reference field="4294967294" count="1" selected="0">
            <x v="0"/>
          </reference>
          <reference field="7" count="1" selected="0">
            <x v="1"/>
          </reference>
        </references>
      </pivotArea>
    </chartFormat>
    <chartFormat chart="44" format="18">
      <pivotArea type="data" outline="0" fieldPosition="0">
        <references count="2">
          <reference field="4294967294" count="1" selected="0">
            <x v="0"/>
          </reference>
          <reference field="7" count="1" selected="0">
            <x v="2"/>
          </reference>
        </references>
      </pivotArea>
    </chartFormat>
    <chartFormat chart="44"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702CD68-5E4F-4965-A0F1-A2C229B10C86}" sourceName="State">
  <pivotTables>
    <pivotTable tabId="2" name="PivotTable2"/>
    <pivotTable tabId="2" name="PivotTable3"/>
    <pivotTable tabId="2" name="PivotTable4"/>
    <pivotTable tabId="2" name="PivotTable5"/>
    <pivotTable tabId="2" name="PivotTable6"/>
    <pivotTable tabId="2" name="PivotTable7"/>
  </pivotTables>
  <data>
    <tabular pivotCacheId="973160969">
      <items count="7">
        <i x="5" s="1"/>
        <i x="1" s="1"/>
        <i x="2" s="1"/>
        <i x="0" s="1"/>
        <i x="4"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A121E0-0BAB-4A9D-92C4-7E7300C8A570}" sourceName="Category">
  <pivotTables>
    <pivotTable tabId="2" name="PivotTable2"/>
    <pivotTable tabId="2" name="PivotTable3"/>
    <pivotTable tabId="2" name="PivotTable4"/>
    <pivotTable tabId="2" name="PivotTable5"/>
    <pivotTable tabId="2" name="PivotTable6"/>
    <pivotTable tabId="2" name="PivotTable7"/>
  </pivotTables>
  <data>
    <tabular pivotCacheId="973160969">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0CE9F89-30DF-4249-99C3-DB720C2756AD}" sourceName="Payment_Mode">
  <pivotTables>
    <pivotTable tabId="2" name="PivotTable2"/>
    <pivotTable tabId="2" name="PivotTable3"/>
    <pivotTable tabId="2" name="PivotTable4"/>
    <pivotTable tabId="2" name="PivotTable5"/>
    <pivotTable tabId="2" name="PivotTable6"/>
    <pivotTable tabId="2" name="PivotTable7"/>
  </pivotTables>
  <data>
    <tabular pivotCacheId="973160969">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E5D9637-ADEE-4B4B-91BA-31B39287CDF8}" sourceName="Delivery_Status">
  <pivotTables>
    <pivotTable tabId="2" name="PivotTable2"/>
    <pivotTable tabId="2" name="PivotTable3"/>
    <pivotTable tabId="2" name="PivotTable4"/>
    <pivotTable tabId="2" name="PivotTable5"/>
    <pivotTable tabId="2" name="PivotTable6"/>
    <pivotTable tabId="2" name="PivotTable7"/>
  </pivotTables>
  <data>
    <tabular pivotCacheId="97316096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B4E190C-D5A8-478B-8220-B803729F337C}" cache="Slicer_State" caption="State" columnCount="2" style="Slicer Style 5" rowHeight="252000"/>
  <slicer name="Category" xr10:uid="{88B8F4B6-D58E-49D7-A55A-E04EB04C4F2E}" cache="Slicer_Category" caption="Category" columnCount="2" style="Slicer Style 5" rowHeight="252000"/>
  <slicer name="Payment_Mode" xr10:uid="{3188AB5A-B4E8-48D8-9489-4F93D50C87B9}" cache="Slicer_Payment_Mode" caption="Payment_Mode" columnCount="2" style="Slicer Style 5" rowHeight="252000"/>
  <slicer name="Delivery_Status" xr10:uid="{20FAAFE4-9CDB-424C-8508-6A1D682F5D55}" cache="Slicer_Delivery_Status" caption="Delivery_Status" startItem="2" columnCount="2" style="Slicer Style 5"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zoomScale="74" workbookViewId="0">
      <selection activeCell="D17" sqref="D17:D18"/>
    </sheetView>
  </sheetViews>
  <sheetFormatPr defaultRowHeight="14.4" x14ac:dyDescent="0.3"/>
  <cols>
    <col min="1" max="1" width="18.5546875" customWidth="1"/>
    <col min="2" max="2" width="21.5546875" customWidth="1"/>
    <col min="3" max="3" width="27.44140625" customWidth="1"/>
    <col min="4" max="4" width="16.6640625" customWidth="1"/>
    <col min="5" max="5" width="11.21875" customWidth="1"/>
    <col min="6" max="6" width="16" customWidth="1"/>
    <col min="7" max="7" width="16.44140625" customWidth="1"/>
    <col min="8" max="8" width="17.21875" customWidth="1"/>
    <col min="9" max="9" width="12" customWidth="1"/>
    <col min="10" max="10" width="11.6640625" customWidth="1"/>
    <col min="11" max="11" width="17.77734375" customWidth="1"/>
    <col min="12" max="12" width="12.77734375" customWidth="1"/>
    <col min="13" max="13" width="14.6640625" customWidth="1"/>
    <col min="14" max="14" width="12.6640625" customWidth="1"/>
    <col min="15" max="15" width="18.6640625" customWidth="1"/>
    <col min="16" max="16" width="18.33203125" customWidth="1"/>
  </cols>
  <sheetData>
    <row r="1" spans="1:16"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s="1" t="s">
        <v>16</v>
      </c>
      <c r="B2" s="1" t="s">
        <v>17</v>
      </c>
      <c r="C2" s="1" t="s">
        <v>18</v>
      </c>
      <c r="D2" s="1" t="s">
        <v>19</v>
      </c>
      <c r="E2" s="1">
        <v>28</v>
      </c>
      <c r="F2" s="1" t="s">
        <v>20</v>
      </c>
      <c r="G2" s="1" t="s">
        <v>21</v>
      </c>
      <c r="H2" s="1" t="s">
        <v>22</v>
      </c>
      <c r="I2" s="1" t="s">
        <v>23</v>
      </c>
      <c r="J2" s="1">
        <v>5</v>
      </c>
      <c r="K2" s="1">
        <v>1250</v>
      </c>
      <c r="L2" s="1">
        <f>IF(J2&gt;=8,20,IF(J2&gt;=6,15,IF(J2&gt;=4,10,5)))</f>
        <v>10</v>
      </c>
      <c r="M2" s="1">
        <f>J2*K2*(1-L2/100)</f>
        <v>5625</v>
      </c>
      <c r="N2" s="1">
        <f>M2*20%</f>
        <v>1125</v>
      </c>
      <c r="O2" s="1" t="s">
        <v>24</v>
      </c>
      <c r="P2" s="1" t="str">
        <f ca="1">CHOOSE(RANDBETWEEN(1,4),"Delivered","Pending","Cancelled","Returned")</f>
        <v>Cancelled</v>
      </c>
    </row>
    <row r="3" spans="1:16" x14ac:dyDescent="0.3">
      <c r="A3" s="1" t="s">
        <v>26</v>
      </c>
      <c r="B3" s="1" t="s">
        <v>27</v>
      </c>
      <c r="C3" s="1" t="s">
        <v>28</v>
      </c>
      <c r="D3" s="1" t="s">
        <v>29</v>
      </c>
      <c r="E3" s="1">
        <v>57</v>
      </c>
      <c r="F3" s="1" t="s">
        <v>30</v>
      </c>
      <c r="G3" s="1" t="s">
        <v>31</v>
      </c>
      <c r="H3" s="1" t="s">
        <v>32</v>
      </c>
      <c r="I3" s="1" t="s">
        <v>33</v>
      </c>
      <c r="J3" s="1">
        <v>5</v>
      </c>
      <c r="K3" s="1">
        <v>875</v>
      </c>
      <c r="L3" s="1">
        <f t="shared" ref="L3:L66" si="0">IF(J3&gt;=8,20,IF(J3&gt;=6,15,IF(J3&gt;=4,10,5)))</f>
        <v>10</v>
      </c>
      <c r="M3" s="1">
        <f t="shared" ref="M3:M66" si="1">J3*K3*(1-L3/100)</f>
        <v>3937.5</v>
      </c>
      <c r="N3" s="1">
        <f t="shared" ref="N3:N66" si="2">M3*20%</f>
        <v>787.5</v>
      </c>
      <c r="O3" s="1" t="s">
        <v>34</v>
      </c>
      <c r="P3" s="1" t="str">
        <f t="shared" ref="P3:P66" ca="1" si="3">CHOOSE(RANDBETWEEN(1,4),"Delivered","Pending","Cancelled","Returned")</f>
        <v>Pending</v>
      </c>
    </row>
    <row r="4" spans="1:16" x14ac:dyDescent="0.3">
      <c r="A4" s="1" t="s">
        <v>36</v>
      </c>
      <c r="B4" s="1" t="s">
        <v>37</v>
      </c>
      <c r="C4" s="1" t="s">
        <v>38</v>
      </c>
      <c r="D4" s="1" t="s">
        <v>19</v>
      </c>
      <c r="E4" s="1">
        <v>48</v>
      </c>
      <c r="F4" s="1" t="s">
        <v>20</v>
      </c>
      <c r="G4" s="1" t="s">
        <v>21</v>
      </c>
      <c r="H4" s="1" t="s">
        <v>32</v>
      </c>
      <c r="I4" s="1" t="s">
        <v>39</v>
      </c>
      <c r="J4" s="1">
        <v>4</v>
      </c>
      <c r="K4" s="1">
        <v>3499</v>
      </c>
      <c r="L4" s="1">
        <f t="shared" si="0"/>
        <v>10</v>
      </c>
      <c r="M4" s="1">
        <f t="shared" si="1"/>
        <v>12596.4</v>
      </c>
      <c r="N4" s="1">
        <f t="shared" si="2"/>
        <v>2519.2800000000002</v>
      </c>
      <c r="O4" s="1" t="s">
        <v>34</v>
      </c>
      <c r="P4" s="1" t="str">
        <f t="shared" ca="1" si="3"/>
        <v>Delivered</v>
      </c>
    </row>
    <row r="5" spans="1:16" x14ac:dyDescent="0.3">
      <c r="A5" s="1" t="s">
        <v>40</v>
      </c>
      <c r="B5" s="1" t="s">
        <v>41</v>
      </c>
      <c r="C5" s="1" t="s">
        <v>42</v>
      </c>
      <c r="D5" s="1" t="s">
        <v>19</v>
      </c>
      <c r="E5" s="1">
        <v>39</v>
      </c>
      <c r="F5" s="1" t="s">
        <v>43</v>
      </c>
      <c r="G5" s="1" t="s">
        <v>44</v>
      </c>
      <c r="H5" s="1" t="s">
        <v>45</v>
      </c>
      <c r="I5" s="1" t="s">
        <v>46</v>
      </c>
      <c r="J5" s="1">
        <v>4</v>
      </c>
      <c r="K5" s="1">
        <v>2150</v>
      </c>
      <c r="L5" s="1">
        <f t="shared" si="0"/>
        <v>10</v>
      </c>
      <c r="M5" s="1">
        <f t="shared" si="1"/>
        <v>7740</v>
      </c>
      <c r="N5" s="1">
        <f t="shared" si="2"/>
        <v>1548</v>
      </c>
      <c r="O5" s="1" t="s">
        <v>47</v>
      </c>
      <c r="P5" s="1" t="str">
        <f t="shared" ca="1" si="3"/>
        <v>Cancelled</v>
      </c>
    </row>
    <row r="6" spans="1:16" x14ac:dyDescent="0.3">
      <c r="A6" s="1" t="s">
        <v>49</v>
      </c>
      <c r="B6" s="1" t="s">
        <v>50</v>
      </c>
      <c r="C6" s="1" t="s">
        <v>51</v>
      </c>
      <c r="D6" s="1" t="s">
        <v>29</v>
      </c>
      <c r="E6" s="1">
        <v>42</v>
      </c>
      <c r="F6" s="1" t="s">
        <v>52</v>
      </c>
      <c r="G6" s="1" t="s">
        <v>53</v>
      </c>
      <c r="H6" s="1" t="s">
        <v>22</v>
      </c>
      <c r="I6" s="1" t="s">
        <v>54</v>
      </c>
      <c r="J6" s="1">
        <v>1</v>
      </c>
      <c r="K6" s="1">
        <v>5999</v>
      </c>
      <c r="L6" s="1">
        <f t="shared" si="0"/>
        <v>5</v>
      </c>
      <c r="M6" s="1">
        <f t="shared" si="1"/>
        <v>5699.05</v>
      </c>
      <c r="N6" s="1">
        <f t="shared" si="2"/>
        <v>1139.8100000000002</v>
      </c>
      <c r="O6" s="1" t="s">
        <v>24</v>
      </c>
      <c r="P6" s="1" t="str">
        <f t="shared" ca="1" si="3"/>
        <v>Cancelled</v>
      </c>
    </row>
    <row r="7" spans="1:16" x14ac:dyDescent="0.3">
      <c r="A7" s="1" t="s">
        <v>56</v>
      </c>
      <c r="B7" s="1" t="s">
        <v>57</v>
      </c>
      <c r="C7" s="1" t="s">
        <v>58</v>
      </c>
      <c r="D7" s="1" t="s">
        <v>29</v>
      </c>
      <c r="E7" s="1">
        <v>60</v>
      </c>
      <c r="F7" s="1" t="s">
        <v>20</v>
      </c>
      <c r="G7" s="1" t="s">
        <v>21</v>
      </c>
      <c r="H7" s="1" t="s">
        <v>59</v>
      </c>
      <c r="I7" s="1" t="s">
        <v>60</v>
      </c>
      <c r="J7" s="1">
        <v>4</v>
      </c>
      <c r="K7" s="1">
        <v>1425</v>
      </c>
      <c r="L7" s="1">
        <f t="shared" si="0"/>
        <v>10</v>
      </c>
      <c r="M7" s="1">
        <f t="shared" si="1"/>
        <v>5130</v>
      </c>
      <c r="N7" s="1">
        <f t="shared" si="2"/>
        <v>1026</v>
      </c>
      <c r="O7" s="1" t="s">
        <v>47</v>
      </c>
      <c r="P7" s="1" t="str">
        <f t="shared" ca="1" si="3"/>
        <v>Delivered</v>
      </c>
    </row>
    <row r="8" spans="1:16" x14ac:dyDescent="0.3">
      <c r="A8" s="1" t="s">
        <v>61</v>
      </c>
      <c r="B8" s="1" t="s">
        <v>62</v>
      </c>
      <c r="C8" s="1" t="s">
        <v>63</v>
      </c>
      <c r="D8" s="1" t="s">
        <v>19</v>
      </c>
      <c r="E8" s="1">
        <v>19</v>
      </c>
      <c r="F8" s="1" t="s">
        <v>43</v>
      </c>
      <c r="G8" s="1" t="s">
        <v>44</v>
      </c>
      <c r="H8" s="1" t="s">
        <v>22</v>
      </c>
      <c r="I8" s="1" t="s">
        <v>64</v>
      </c>
      <c r="J8" s="1">
        <v>8</v>
      </c>
      <c r="K8" s="1">
        <v>780</v>
      </c>
      <c r="L8" s="1">
        <f t="shared" si="0"/>
        <v>20</v>
      </c>
      <c r="M8" s="1">
        <f t="shared" si="1"/>
        <v>4992</v>
      </c>
      <c r="N8" s="1">
        <f t="shared" si="2"/>
        <v>998.40000000000009</v>
      </c>
      <c r="O8" s="1" t="s">
        <v>34</v>
      </c>
      <c r="P8" s="1" t="str">
        <f t="shared" ca="1" si="3"/>
        <v>Pending</v>
      </c>
    </row>
    <row r="9" spans="1:16" x14ac:dyDescent="0.3">
      <c r="A9" s="1" t="s">
        <v>65</v>
      </c>
      <c r="B9" s="1" t="s">
        <v>66</v>
      </c>
      <c r="C9" s="1" t="s">
        <v>67</v>
      </c>
      <c r="D9" s="1" t="s">
        <v>19</v>
      </c>
      <c r="E9" s="1">
        <v>55</v>
      </c>
      <c r="F9" s="1" t="s">
        <v>52</v>
      </c>
      <c r="G9" s="1" t="s">
        <v>53</v>
      </c>
      <c r="H9" s="1" t="s">
        <v>32</v>
      </c>
      <c r="I9" s="1" t="s">
        <v>68</v>
      </c>
      <c r="J9" s="1">
        <v>6</v>
      </c>
      <c r="K9" s="1">
        <v>4600</v>
      </c>
      <c r="L9" s="1">
        <f t="shared" si="0"/>
        <v>15</v>
      </c>
      <c r="M9" s="1">
        <f t="shared" si="1"/>
        <v>23460</v>
      </c>
      <c r="N9" s="1">
        <f t="shared" si="2"/>
        <v>4692</v>
      </c>
      <c r="O9" s="1" t="s">
        <v>34</v>
      </c>
      <c r="P9" s="1" t="str">
        <f t="shared" ca="1" si="3"/>
        <v>Pending</v>
      </c>
    </row>
    <row r="10" spans="1:16" x14ac:dyDescent="0.3">
      <c r="A10" s="1" t="s">
        <v>69</v>
      </c>
      <c r="B10" s="1" t="s">
        <v>70</v>
      </c>
      <c r="C10" s="1" t="s">
        <v>71</v>
      </c>
      <c r="D10" s="1" t="s">
        <v>29</v>
      </c>
      <c r="E10" s="1">
        <v>47</v>
      </c>
      <c r="F10" s="1" t="s">
        <v>30</v>
      </c>
      <c r="G10" s="1" t="s">
        <v>31</v>
      </c>
      <c r="H10" s="1" t="s">
        <v>45</v>
      </c>
      <c r="I10" s="1" t="s">
        <v>72</v>
      </c>
      <c r="J10" s="1">
        <v>2</v>
      </c>
      <c r="K10" s="1">
        <v>1899</v>
      </c>
      <c r="L10" s="1">
        <f t="shared" si="0"/>
        <v>5</v>
      </c>
      <c r="M10" s="1">
        <f t="shared" si="1"/>
        <v>3608.1</v>
      </c>
      <c r="N10" s="1">
        <f t="shared" si="2"/>
        <v>721.62</v>
      </c>
      <c r="O10" s="1" t="s">
        <v>24</v>
      </c>
      <c r="P10" s="1" t="str">
        <f t="shared" ca="1" si="3"/>
        <v>Delivered</v>
      </c>
    </row>
    <row r="11" spans="1:16" x14ac:dyDescent="0.3">
      <c r="A11" s="1" t="s">
        <v>73</v>
      </c>
      <c r="B11" s="1" t="s">
        <v>74</v>
      </c>
      <c r="C11" s="1" t="s">
        <v>75</v>
      </c>
      <c r="D11" s="1" t="s">
        <v>19</v>
      </c>
      <c r="E11" s="1">
        <v>18</v>
      </c>
      <c r="F11" s="1" t="s">
        <v>76</v>
      </c>
      <c r="G11" s="1" t="s">
        <v>77</v>
      </c>
      <c r="H11" s="1" t="s">
        <v>22</v>
      </c>
      <c r="I11" s="1" t="s">
        <v>54</v>
      </c>
      <c r="J11" s="1">
        <v>5</v>
      </c>
      <c r="K11" s="1">
        <v>3250</v>
      </c>
      <c r="L11" s="1">
        <f t="shared" si="0"/>
        <v>10</v>
      </c>
      <c r="M11" s="1">
        <f t="shared" si="1"/>
        <v>14625</v>
      </c>
      <c r="N11" s="1">
        <f t="shared" si="2"/>
        <v>2925</v>
      </c>
      <c r="O11" s="1" t="s">
        <v>47</v>
      </c>
      <c r="P11" s="1" t="str">
        <f t="shared" ca="1" si="3"/>
        <v>Delivered</v>
      </c>
    </row>
    <row r="12" spans="1:16" x14ac:dyDescent="0.3">
      <c r="A12" s="1" t="s">
        <v>78</v>
      </c>
      <c r="B12" s="1" t="s">
        <v>79</v>
      </c>
      <c r="C12" s="1" t="s">
        <v>80</v>
      </c>
      <c r="D12" s="1" t="s">
        <v>19</v>
      </c>
      <c r="E12" s="1">
        <v>58</v>
      </c>
      <c r="F12" s="1" t="s">
        <v>30</v>
      </c>
      <c r="G12" s="1" t="s">
        <v>31</v>
      </c>
      <c r="H12" s="1" t="s">
        <v>22</v>
      </c>
      <c r="I12" s="1" t="s">
        <v>54</v>
      </c>
      <c r="J12" s="1">
        <v>4</v>
      </c>
      <c r="K12" s="1">
        <v>950</v>
      </c>
      <c r="L12" s="1">
        <f t="shared" si="0"/>
        <v>10</v>
      </c>
      <c r="M12" s="1">
        <f t="shared" si="1"/>
        <v>3420</v>
      </c>
      <c r="N12" s="1">
        <f t="shared" si="2"/>
        <v>684</v>
      </c>
      <c r="O12" s="1" t="s">
        <v>24</v>
      </c>
      <c r="P12" s="1" t="str">
        <f t="shared" ca="1" si="3"/>
        <v>Returned</v>
      </c>
    </row>
    <row r="13" spans="1:16" x14ac:dyDescent="0.3">
      <c r="A13" s="1" t="s">
        <v>81</v>
      </c>
      <c r="B13" s="1" t="s">
        <v>82</v>
      </c>
      <c r="C13" s="1" t="s">
        <v>83</v>
      </c>
      <c r="D13" s="1" t="s">
        <v>19</v>
      </c>
      <c r="E13" s="1">
        <v>25</v>
      </c>
      <c r="F13" s="1" t="s">
        <v>84</v>
      </c>
      <c r="G13" s="1" t="s">
        <v>31</v>
      </c>
      <c r="H13" s="1" t="s">
        <v>22</v>
      </c>
      <c r="I13" s="1" t="s">
        <v>85</v>
      </c>
      <c r="J13" s="1">
        <v>5</v>
      </c>
      <c r="K13" s="1">
        <v>2750</v>
      </c>
      <c r="L13" s="1">
        <f t="shared" si="0"/>
        <v>10</v>
      </c>
      <c r="M13" s="1">
        <f t="shared" si="1"/>
        <v>12375</v>
      </c>
      <c r="N13" s="1">
        <f t="shared" si="2"/>
        <v>2475</v>
      </c>
      <c r="O13" s="1" t="s">
        <v>24</v>
      </c>
      <c r="P13" s="1" t="str">
        <f t="shared" ca="1" si="3"/>
        <v>Cancelled</v>
      </c>
    </row>
    <row r="14" spans="1:16" x14ac:dyDescent="0.3">
      <c r="A14" s="1" t="s">
        <v>86</v>
      </c>
      <c r="B14" s="1" t="s">
        <v>87</v>
      </c>
      <c r="C14" s="1" t="s">
        <v>88</v>
      </c>
      <c r="D14" s="1" t="s">
        <v>29</v>
      </c>
      <c r="E14" s="1">
        <v>21</v>
      </c>
      <c r="F14" s="1" t="s">
        <v>20</v>
      </c>
      <c r="G14" s="1" t="s">
        <v>21</v>
      </c>
      <c r="H14" s="1" t="s">
        <v>59</v>
      </c>
      <c r="I14" s="1" t="s">
        <v>89</v>
      </c>
      <c r="J14" s="1">
        <v>8</v>
      </c>
      <c r="K14" s="1">
        <v>5100</v>
      </c>
      <c r="L14" s="1">
        <f t="shared" si="0"/>
        <v>20</v>
      </c>
      <c r="M14" s="1">
        <f t="shared" si="1"/>
        <v>32640</v>
      </c>
      <c r="N14" s="1">
        <f t="shared" si="2"/>
        <v>6528</v>
      </c>
      <c r="O14" s="1" t="s">
        <v>47</v>
      </c>
      <c r="P14" s="1" t="str">
        <f t="shared" ca="1" si="3"/>
        <v>Cancelled</v>
      </c>
    </row>
    <row r="15" spans="1:16" x14ac:dyDescent="0.3">
      <c r="A15" s="1" t="s">
        <v>90</v>
      </c>
      <c r="B15" s="1" t="s">
        <v>91</v>
      </c>
      <c r="C15" s="1" t="s">
        <v>92</v>
      </c>
      <c r="D15" s="1" t="s">
        <v>29</v>
      </c>
      <c r="E15" s="1">
        <v>34</v>
      </c>
      <c r="F15" s="1" t="s">
        <v>84</v>
      </c>
      <c r="G15" s="1" t="s">
        <v>31</v>
      </c>
      <c r="H15" s="1" t="s">
        <v>45</v>
      </c>
      <c r="I15" s="1" t="s">
        <v>93</v>
      </c>
      <c r="J15" s="1">
        <v>6</v>
      </c>
      <c r="K15" s="1">
        <v>1350</v>
      </c>
      <c r="L15" s="1">
        <f t="shared" si="0"/>
        <v>15</v>
      </c>
      <c r="M15" s="1">
        <f t="shared" si="1"/>
        <v>6885</v>
      </c>
      <c r="N15" s="1">
        <f t="shared" si="2"/>
        <v>1377</v>
      </c>
      <c r="O15" s="1" t="s">
        <v>47</v>
      </c>
      <c r="P15" s="1" t="str">
        <f t="shared" ca="1" si="3"/>
        <v>Pending</v>
      </c>
    </row>
    <row r="16" spans="1:16" x14ac:dyDescent="0.3">
      <c r="A16" s="1" t="s">
        <v>94</v>
      </c>
      <c r="B16" s="1" t="s">
        <v>95</v>
      </c>
      <c r="C16" s="1" t="s">
        <v>96</v>
      </c>
      <c r="D16" s="1" t="s">
        <v>19</v>
      </c>
      <c r="E16" s="1">
        <v>56</v>
      </c>
      <c r="F16" s="1" t="s">
        <v>97</v>
      </c>
      <c r="G16" s="1" t="s">
        <v>31</v>
      </c>
      <c r="H16" s="1" t="s">
        <v>45</v>
      </c>
      <c r="I16" s="1" t="s">
        <v>72</v>
      </c>
      <c r="J16" s="1">
        <v>7</v>
      </c>
      <c r="K16" s="1">
        <v>4200</v>
      </c>
      <c r="L16" s="1">
        <f t="shared" si="0"/>
        <v>15</v>
      </c>
      <c r="M16" s="1">
        <f t="shared" si="1"/>
        <v>24990</v>
      </c>
      <c r="N16" s="1">
        <f t="shared" si="2"/>
        <v>4998</v>
      </c>
      <c r="O16" s="1" t="s">
        <v>98</v>
      </c>
      <c r="P16" s="1" t="str">
        <f t="shared" ca="1" si="3"/>
        <v>Delivered</v>
      </c>
    </row>
    <row r="17" spans="1:16" x14ac:dyDescent="0.3">
      <c r="A17" s="1" t="s">
        <v>99</v>
      </c>
      <c r="B17" s="1" t="s">
        <v>100</v>
      </c>
      <c r="C17" s="1" t="s">
        <v>71</v>
      </c>
      <c r="D17" s="1" t="s">
        <v>29</v>
      </c>
      <c r="E17" s="1">
        <v>29</v>
      </c>
      <c r="F17" s="1" t="s">
        <v>30</v>
      </c>
      <c r="G17" s="1" t="s">
        <v>31</v>
      </c>
      <c r="H17" s="1" t="s">
        <v>32</v>
      </c>
      <c r="I17" s="1" t="s">
        <v>68</v>
      </c>
      <c r="J17" s="1">
        <v>8</v>
      </c>
      <c r="K17" s="1">
        <v>680</v>
      </c>
      <c r="L17" s="1">
        <f t="shared" si="0"/>
        <v>20</v>
      </c>
      <c r="M17" s="1">
        <f t="shared" si="1"/>
        <v>4352</v>
      </c>
      <c r="N17" s="1">
        <f t="shared" si="2"/>
        <v>870.40000000000009</v>
      </c>
      <c r="O17" s="1" t="s">
        <v>24</v>
      </c>
      <c r="P17" s="1" t="str">
        <f t="shared" ca="1" si="3"/>
        <v>Returned</v>
      </c>
    </row>
    <row r="18" spans="1:16" x14ac:dyDescent="0.3">
      <c r="A18" s="1" t="s">
        <v>101</v>
      </c>
      <c r="B18" s="1" t="s">
        <v>102</v>
      </c>
      <c r="C18" s="1" t="s">
        <v>103</v>
      </c>
      <c r="D18" s="1" t="s">
        <v>19</v>
      </c>
      <c r="E18" s="1">
        <v>29</v>
      </c>
      <c r="F18" s="1" t="s">
        <v>30</v>
      </c>
      <c r="G18" s="1" t="s">
        <v>31</v>
      </c>
      <c r="H18" s="1" t="s">
        <v>32</v>
      </c>
      <c r="I18" s="1" t="s">
        <v>104</v>
      </c>
      <c r="J18" s="1">
        <v>5</v>
      </c>
      <c r="K18" s="1">
        <v>2400</v>
      </c>
      <c r="L18" s="1">
        <f t="shared" si="0"/>
        <v>10</v>
      </c>
      <c r="M18" s="1">
        <f t="shared" si="1"/>
        <v>10800</v>
      </c>
      <c r="N18" s="1">
        <f t="shared" si="2"/>
        <v>2160</v>
      </c>
      <c r="O18" s="1" t="s">
        <v>98</v>
      </c>
      <c r="P18" s="1" t="str">
        <f t="shared" ca="1" si="3"/>
        <v>Cancelled</v>
      </c>
    </row>
    <row r="19" spans="1:16" x14ac:dyDescent="0.3">
      <c r="A19" s="1" t="s">
        <v>105</v>
      </c>
      <c r="B19" s="1" t="s">
        <v>106</v>
      </c>
      <c r="C19" s="1" t="s">
        <v>107</v>
      </c>
      <c r="D19" s="1" t="s">
        <v>29</v>
      </c>
      <c r="E19" s="1">
        <v>48</v>
      </c>
      <c r="F19" s="1" t="s">
        <v>108</v>
      </c>
      <c r="G19" s="1" t="s">
        <v>108</v>
      </c>
      <c r="H19" s="1" t="s">
        <v>45</v>
      </c>
      <c r="I19" s="1" t="s">
        <v>46</v>
      </c>
      <c r="J19" s="1">
        <v>6</v>
      </c>
      <c r="K19" s="1">
        <v>3950</v>
      </c>
      <c r="L19" s="1">
        <f t="shared" si="0"/>
        <v>15</v>
      </c>
      <c r="M19" s="1">
        <f t="shared" si="1"/>
        <v>20145</v>
      </c>
      <c r="N19" s="1">
        <f t="shared" si="2"/>
        <v>4029</v>
      </c>
      <c r="O19" s="1" t="s">
        <v>47</v>
      </c>
      <c r="P19" s="1" t="str">
        <f t="shared" ca="1" si="3"/>
        <v>Pending</v>
      </c>
    </row>
    <row r="20" spans="1:16" x14ac:dyDescent="0.3">
      <c r="A20" s="1" t="s">
        <v>109</v>
      </c>
      <c r="B20" s="1" t="s">
        <v>110</v>
      </c>
      <c r="C20" s="1" t="s">
        <v>111</v>
      </c>
      <c r="D20" s="1" t="s">
        <v>19</v>
      </c>
      <c r="E20" s="1">
        <v>26</v>
      </c>
      <c r="F20" s="1" t="s">
        <v>43</v>
      </c>
      <c r="G20" s="1" t="s">
        <v>44</v>
      </c>
      <c r="H20" s="1" t="s">
        <v>32</v>
      </c>
      <c r="I20" s="1" t="s">
        <v>33</v>
      </c>
      <c r="J20" s="1">
        <v>5</v>
      </c>
      <c r="K20" s="1">
        <v>1750</v>
      </c>
      <c r="L20" s="1">
        <f t="shared" si="0"/>
        <v>10</v>
      </c>
      <c r="M20" s="1">
        <f t="shared" si="1"/>
        <v>7875</v>
      </c>
      <c r="N20" s="1">
        <f t="shared" si="2"/>
        <v>1575</v>
      </c>
      <c r="O20" s="1" t="s">
        <v>98</v>
      </c>
      <c r="P20" s="1" t="str">
        <f t="shared" ca="1" si="3"/>
        <v>Returned</v>
      </c>
    </row>
    <row r="21" spans="1:16" x14ac:dyDescent="0.3">
      <c r="A21" s="1" t="s">
        <v>112</v>
      </c>
      <c r="B21" s="1" t="s">
        <v>113</v>
      </c>
      <c r="C21" s="1" t="s">
        <v>114</v>
      </c>
      <c r="D21" s="1" t="s">
        <v>29</v>
      </c>
      <c r="E21" s="1">
        <v>25</v>
      </c>
      <c r="F21" s="1" t="s">
        <v>52</v>
      </c>
      <c r="G21" s="1" t="s">
        <v>53</v>
      </c>
      <c r="H21" s="1" t="s">
        <v>32</v>
      </c>
      <c r="I21" s="1" t="s">
        <v>39</v>
      </c>
      <c r="J21" s="1">
        <v>8</v>
      </c>
      <c r="K21" s="1">
        <v>2890</v>
      </c>
      <c r="L21" s="1">
        <f t="shared" si="0"/>
        <v>20</v>
      </c>
      <c r="M21" s="1">
        <f t="shared" si="1"/>
        <v>18496</v>
      </c>
      <c r="N21" s="1">
        <f t="shared" si="2"/>
        <v>3699.2000000000003</v>
      </c>
      <c r="O21" s="1" t="s">
        <v>24</v>
      </c>
      <c r="P21" s="1" t="str">
        <f t="shared" ca="1" si="3"/>
        <v>Cancelled</v>
      </c>
    </row>
    <row r="22" spans="1:16" x14ac:dyDescent="0.3">
      <c r="A22" s="1" t="s">
        <v>115</v>
      </c>
      <c r="B22" s="1" t="s">
        <v>116</v>
      </c>
      <c r="C22" s="1" t="s">
        <v>117</v>
      </c>
      <c r="D22" s="1" t="s">
        <v>19</v>
      </c>
      <c r="E22" s="1">
        <v>19</v>
      </c>
      <c r="F22" s="1" t="s">
        <v>30</v>
      </c>
      <c r="G22" s="1" t="s">
        <v>31</v>
      </c>
      <c r="H22" s="1" t="s">
        <v>59</v>
      </c>
      <c r="I22" s="1" t="s">
        <v>118</v>
      </c>
      <c r="J22" s="1">
        <v>2</v>
      </c>
      <c r="K22" s="1">
        <v>1100</v>
      </c>
      <c r="L22" s="1">
        <f t="shared" si="0"/>
        <v>5</v>
      </c>
      <c r="M22" s="1">
        <f t="shared" si="1"/>
        <v>2090</v>
      </c>
      <c r="N22" s="1">
        <f t="shared" si="2"/>
        <v>418</v>
      </c>
      <c r="O22" s="1" t="s">
        <v>24</v>
      </c>
      <c r="P22" s="1" t="str">
        <f t="shared" ca="1" si="3"/>
        <v>Returned</v>
      </c>
    </row>
    <row r="23" spans="1:16" x14ac:dyDescent="0.3">
      <c r="A23" s="1" t="s">
        <v>119</v>
      </c>
      <c r="B23" s="1" t="s">
        <v>120</v>
      </c>
      <c r="C23" s="1" t="s">
        <v>121</v>
      </c>
      <c r="D23" s="1" t="s">
        <v>29</v>
      </c>
      <c r="E23" s="1">
        <v>24</v>
      </c>
      <c r="F23" s="1" t="s">
        <v>84</v>
      </c>
      <c r="G23" s="1" t="s">
        <v>31</v>
      </c>
      <c r="H23" s="1" t="s">
        <v>32</v>
      </c>
      <c r="I23" s="1" t="s">
        <v>39</v>
      </c>
      <c r="J23" s="1">
        <v>1</v>
      </c>
      <c r="K23" s="1">
        <v>650</v>
      </c>
      <c r="L23" s="1">
        <f t="shared" si="0"/>
        <v>5</v>
      </c>
      <c r="M23" s="1">
        <f t="shared" si="1"/>
        <v>617.5</v>
      </c>
      <c r="N23" s="1">
        <f t="shared" si="2"/>
        <v>123.5</v>
      </c>
      <c r="O23" s="1" t="s">
        <v>24</v>
      </c>
      <c r="P23" s="1" t="str">
        <f t="shared" ca="1" si="3"/>
        <v>Delivered</v>
      </c>
    </row>
    <row r="24" spans="1:16" x14ac:dyDescent="0.3">
      <c r="A24" s="1" t="s">
        <v>122</v>
      </c>
      <c r="B24" s="1" t="s">
        <v>123</v>
      </c>
      <c r="C24" s="1" t="s">
        <v>124</v>
      </c>
      <c r="D24" s="1" t="s">
        <v>19</v>
      </c>
      <c r="E24" s="1">
        <v>53</v>
      </c>
      <c r="F24" s="1" t="s">
        <v>125</v>
      </c>
      <c r="G24" s="1" t="s">
        <v>126</v>
      </c>
      <c r="H24" s="1" t="s">
        <v>45</v>
      </c>
      <c r="I24" s="1" t="s">
        <v>93</v>
      </c>
      <c r="J24" s="1">
        <v>7</v>
      </c>
      <c r="K24" s="1">
        <v>3700</v>
      </c>
      <c r="L24" s="1">
        <f t="shared" si="0"/>
        <v>15</v>
      </c>
      <c r="M24" s="1">
        <f t="shared" si="1"/>
        <v>22015</v>
      </c>
      <c r="N24" s="1">
        <f t="shared" si="2"/>
        <v>4403</v>
      </c>
      <c r="O24" s="1" t="s">
        <v>47</v>
      </c>
      <c r="P24" s="1" t="str">
        <f t="shared" ca="1" si="3"/>
        <v>Delivered</v>
      </c>
    </row>
    <row r="25" spans="1:16" x14ac:dyDescent="0.3">
      <c r="A25" s="1" t="s">
        <v>127</v>
      </c>
      <c r="B25" s="1" t="s">
        <v>128</v>
      </c>
      <c r="C25" s="1" t="s">
        <v>129</v>
      </c>
      <c r="D25" s="1" t="s">
        <v>29</v>
      </c>
      <c r="E25" s="1">
        <v>56</v>
      </c>
      <c r="F25" s="1" t="s">
        <v>30</v>
      </c>
      <c r="G25" s="1" t="s">
        <v>31</v>
      </c>
      <c r="H25" s="1" t="s">
        <v>45</v>
      </c>
      <c r="I25" s="1" t="s">
        <v>46</v>
      </c>
      <c r="J25" s="1">
        <v>4</v>
      </c>
      <c r="K25" s="1">
        <v>1580</v>
      </c>
      <c r="L25" s="1">
        <f t="shared" si="0"/>
        <v>10</v>
      </c>
      <c r="M25" s="1">
        <f t="shared" si="1"/>
        <v>5688</v>
      </c>
      <c r="N25" s="1">
        <f t="shared" si="2"/>
        <v>1137.6000000000001</v>
      </c>
      <c r="O25" s="1" t="s">
        <v>34</v>
      </c>
      <c r="P25" s="1" t="str">
        <f t="shared" ca="1" si="3"/>
        <v>Delivered</v>
      </c>
    </row>
    <row r="26" spans="1:16" x14ac:dyDescent="0.3">
      <c r="A26" s="1" t="s">
        <v>130</v>
      </c>
      <c r="B26" s="1" t="s">
        <v>131</v>
      </c>
      <c r="C26" s="1" t="s">
        <v>132</v>
      </c>
      <c r="D26" s="1" t="s">
        <v>29</v>
      </c>
      <c r="E26" s="1">
        <v>41</v>
      </c>
      <c r="F26" s="1" t="s">
        <v>30</v>
      </c>
      <c r="G26" s="1" t="s">
        <v>31</v>
      </c>
      <c r="H26" s="1" t="s">
        <v>22</v>
      </c>
      <c r="I26" s="1" t="s">
        <v>133</v>
      </c>
      <c r="J26" s="1">
        <v>6</v>
      </c>
      <c r="K26" s="1">
        <v>4450</v>
      </c>
      <c r="L26" s="1">
        <f t="shared" si="0"/>
        <v>15</v>
      </c>
      <c r="M26" s="1">
        <f t="shared" si="1"/>
        <v>22695</v>
      </c>
      <c r="N26" s="1">
        <f t="shared" si="2"/>
        <v>4539</v>
      </c>
      <c r="O26" s="1" t="s">
        <v>24</v>
      </c>
      <c r="P26" s="1" t="str">
        <f t="shared" ca="1" si="3"/>
        <v>Returned</v>
      </c>
    </row>
    <row r="27" spans="1:16" x14ac:dyDescent="0.3">
      <c r="A27" s="1" t="s">
        <v>134</v>
      </c>
      <c r="B27" s="1" t="s">
        <v>135</v>
      </c>
      <c r="C27" s="1" t="s">
        <v>136</v>
      </c>
      <c r="D27" s="1" t="s">
        <v>29</v>
      </c>
      <c r="E27" s="1">
        <v>23</v>
      </c>
      <c r="F27" s="1" t="s">
        <v>20</v>
      </c>
      <c r="G27" s="1" t="s">
        <v>21</v>
      </c>
      <c r="H27" s="1" t="s">
        <v>59</v>
      </c>
      <c r="I27" s="1" t="s">
        <v>118</v>
      </c>
      <c r="J27" s="1">
        <v>8</v>
      </c>
      <c r="K27" s="1">
        <v>980</v>
      </c>
      <c r="L27" s="1">
        <f t="shared" si="0"/>
        <v>20</v>
      </c>
      <c r="M27" s="1">
        <f t="shared" si="1"/>
        <v>6272</v>
      </c>
      <c r="N27" s="1">
        <f t="shared" si="2"/>
        <v>1254.4000000000001</v>
      </c>
      <c r="O27" s="1" t="s">
        <v>47</v>
      </c>
      <c r="P27" s="1" t="str">
        <f t="shared" ca="1" si="3"/>
        <v>Pending</v>
      </c>
    </row>
    <row r="28" spans="1:16" x14ac:dyDescent="0.3">
      <c r="A28" s="1" t="s">
        <v>137</v>
      </c>
      <c r="B28" s="1" t="s">
        <v>138</v>
      </c>
      <c r="C28" s="1" t="s">
        <v>139</v>
      </c>
      <c r="D28" s="1" t="s">
        <v>29</v>
      </c>
      <c r="E28" s="1">
        <v>41</v>
      </c>
      <c r="F28" s="1" t="s">
        <v>52</v>
      </c>
      <c r="G28" s="1" t="s">
        <v>53</v>
      </c>
      <c r="H28" s="1" t="s">
        <v>59</v>
      </c>
      <c r="I28" s="1" t="s">
        <v>60</v>
      </c>
      <c r="J28" s="1">
        <v>8</v>
      </c>
      <c r="K28" s="1">
        <v>5200</v>
      </c>
      <c r="L28" s="1">
        <f t="shared" si="0"/>
        <v>20</v>
      </c>
      <c r="M28" s="1">
        <f t="shared" si="1"/>
        <v>33280</v>
      </c>
      <c r="N28" s="1">
        <f t="shared" si="2"/>
        <v>6656</v>
      </c>
      <c r="O28" s="1" t="s">
        <v>34</v>
      </c>
      <c r="P28" s="1" t="str">
        <f t="shared" ca="1" si="3"/>
        <v>Pending</v>
      </c>
    </row>
    <row r="29" spans="1:16" x14ac:dyDescent="0.3">
      <c r="A29" s="1" t="s">
        <v>140</v>
      </c>
      <c r="B29" s="1" t="s">
        <v>141</v>
      </c>
      <c r="C29" s="1" t="s">
        <v>142</v>
      </c>
      <c r="D29" s="1" t="s">
        <v>29</v>
      </c>
      <c r="E29" s="1">
        <v>47</v>
      </c>
      <c r="F29" s="1" t="s">
        <v>97</v>
      </c>
      <c r="G29" s="1" t="s">
        <v>31</v>
      </c>
      <c r="H29" s="1" t="s">
        <v>59</v>
      </c>
      <c r="I29" s="1" t="s">
        <v>143</v>
      </c>
      <c r="J29" s="1">
        <v>2</v>
      </c>
      <c r="K29" s="1">
        <v>1325</v>
      </c>
      <c r="L29" s="1">
        <f t="shared" si="0"/>
        <v>5</v>
      </c>
      <c r="M29" s="1">
        <f t="shared" si="1"/>
        <v>2517.5</v>
      </c>
      <c r="N29" s="1">
        <f t="shared" si="2"/>
        <v>503.5</v>
      </c>
      <c r="O29" s="1" t="s">
        <v>24</v>
      </c>
      <c r="P29" s="1" t="str">
        <f t="shared" ca="1" si="3"/>
        <v>Pending</v>
      </c>
    </row>
    <row r="30" spans="1:16" x14ac:dyDescent="0.3">
      <c r="A30" s="1" t="s">
        <v>144</v>
      </c>
      <c r="B30" s="1" t="s">
        <v>145</v>
      </c>
      <c r="C30" s="1" t="s">
        <v>146</v>
      </c>
      <c r="D30" s="1" t="s">
        <v>29</v>
      </c>
      <c r="E30" s="1">
        <v>20</v>
      </c>
      <c r="F30" s="1" t="s">
        <v>147</v>
      </c>
      <c r="G30" s="1" t="s">
        <v>44</v>
      </c>
      <c r="H30" s="1" t="s">
        <v>45</v>
      </c>
      <c r="I30" s="1" t="s">
        <v>93</v>
      </c>
      <c r="J30" s="1">
        <v>8</v>
      </c>
      <c r="K30" s="1">
        <v>2650</v>
      </c>
      <c r="L30" s="1">
        <f t="shared" si="0"/>
        <v>20</v>
      </c>
      <c r="M30" s="1">
        <f t="shared" si="1"/>
        <v>16960</v>
      </c>
      <c r="N30" s="1">
        <f t="shared" si="2"/>
        <v>3392</v>
      </c>
      <c r="O30" s="1" t="s">
        <v>98</v>
      </c>
      <c r="P30" s="1" t="str">
        <f t="shared" ca="1" si="3"/>
        <v>Cancelled</v>
      </c>
    </row>
    <row r="31" spans="1:16" x14ac:dyDescent="0.3">
      <c r="A31" s="1" t="s">
        <v>148</v>
      </c>
      <c r="B31" s="1" t="s">
        <v>149</v>
      </c>
      <c r="C31" s="1" t="s">
        <v>150</v>
      </c>
      <c r="D31" s="1" t="s">
        <v>19</v>
      </c>
      <c r="E31" s="1">
        <v>36</v>
      </c>
      <c r="F31" s="1" t="s">
        <v>43</v>
      </c>
      <c r="G31" s="1" t="s">
        <v>44</v>
      </c>
      <c r="H31" s="1" t="s">
        <v>32</v>
      </c>
      <c r="I31" s="1" t="s">
        <v>151</v>
      </c>
      <c r="J31" s="1">
        <v>7</v>
      </c>
      <c r="K31" s="1">
        <v>850</v>
      </c>
      <c r="L31" s="1">
        <f t="shared" si="0"/>
        <v>15</v>
      </c>
      <c r="M31" s="1">
        <f t="shared" si="1"/>
        <v>5057.5</v>
      </c>
      <c r="N31" s="1">
        <f t="shared" si="2"/>
        <v>1011.5</v>
      </c>
      <c r="O31" s="1" t="s">
        <v>47</v>
      </c>
      <c r="P31" s="1" t="str">
        <f t="shared" ca="1" si="3"/>
        <v>Delivered</v>
      </c>
    </row>
    <row r="32" spans="1:16" x14ac:dyDescent="0.3">
      <c r="A32" s="1" t="s">
        <v>152</v>
      </c>
      <c r="B32" s="1" t="s">
        <v>153</v>
      </c>
      <c r="C32" s="1" t="s">
        <v>154</v>
      </c>
      <c r="D32" s="1" t="s">
        <v>19</v>
      </c>
      <c r="E32" s="1">
        <v>20</v>
      </c>
      <c r="F32" s="1" t="s">
        <v>30</v>
      </c>
      <c r="G32" s="1" t="s">
        <v>31</v>
      </c>
      <c r="H32" s="1" t="s">
        <v>22</v>
      </c>
      <c r="I32" s="1" t="s">
        <v>133</v>
      </c>
      <c r="J32" s="1">
        <v>1</v>
      </c>
      <c r="K32" s="1">
        <v>3100</v>
      </c>
      <c r="L32" s="1">
        <f t="shared" si="0"/>
        <v>5</v>
      </c>
      <c r="M32" s="1">
        <f t="shared" si="1"/>
        <v>2945</v>
      </c>
      <c r="N32" s="1">
        <f t="shared" si="2"/>
        <v>589</v>
      </c>
      <c r="O32" s="1" t="s">
        <v>98</v>
      </c>
      <c r="P32" s="1" t="str">
        <f t="shared" ca="1" si="3"/>
        <v>Delivered</v>
      </c>
    </row>
    <row r="33" spans="1:16" x14ac:dyDescent="0.3">
      <c r="A33" s="1" t="s">
        <v>155</v>
      </c>
      <c r="B33" s="1" t="s">
        <v>156</v>
      </c>
      <c r="C33" s="1" t="s">
        <v>157</v>
      </c>
      <c r="D33" s="1" t="s">
        <v>19</v>
      </c>
      <c r="E33" s="1">
        <v>57</v>
      </c>
      <c r="F33" s="1" t="s">
        <v>20</v>
      </c>
      <c r="G33" s="1" t="s">
        <v>21</v>
      </c>
      <c r="H33" s="1" t="s">
        <v>45</v>
      </c>
      <c r="I33" s="1" t="s">
        <v>46</v>
      </c>
      <c r="J33" s="1">
        <v>8</v>
      </c>
      <c r="K33" s="1">
        <v>4900</v>
      </c>
      <c r="L33" s="1">
        <f t="shared" si="0"/>
        <v>20</v>
      </c>
      <c r="M33" s="1">
        <f t="shared" si="1"/>
        <v>31360</v>
      </c>
      <c r="N33" s="1">
        <f t="shared" si="2"/>
        <v>6272</v>
      </c>
      <c r="O33" s="1" t="s">
        <v>34</v>
      </c>
      <c r="P33" s="1" t="str">
        <f t="shared" ca="1" si="3"/>
        <v>Pending</v>
      </c>
    </row>
    <row r="34" spans="1:16" x14ac:dyDescent="0.3">
      <c r="A34" s="1" t="s">
        <v>158</v>
      </c>
      <c r="B34" s="1" t="s">
        <v>159</v>
      </c>
      <c r="C34" s="1" t="s">
        <v>160</v>
      </c>
      <c r="D34" s="1" t="s">
        <v>19</v>
      </c>
      <c r="E34" s="1">
        <v>56</v>
      </c>
      <c r="F34" s="1" t="s">
        <v>97</v>
      </c>
      <c r="G34" s="1" t="s">
        <v>31</v>
      </c>
      <c r="H34" s="1" t="s">
        <v>32</v>
      </c>
      <c r="I34" s="1" t="s">
        <v>68</v>
      </c>
      <c r="J34" s="1">
        <v>6</v>
      </c>
      <c r="K34" s="1">
        <v>1755</v>
      </c>
      <c r="L34" s="1">
        <f t="shared" si="0"/>
        <v>15</v>
      </c>
      <c r="M34" s="1">
        <f t="shared" si="1"/>
        <v>8950.5</v>
      </c>
      <c r="N34" s="1">
        <f t="shared" si="2"/>
        <v>1790.1000000000001</v>
      </c>
      <c r="O34" s="1" t="s">
        <v>47</v>
      </c>
      <c r="P34" s="1" t="str">
        <f t="shared" ca="1" si="3"/>
        <v>Delivered</v>
      </c>
    </row>
    <row r="35" spans="1:16" x14ac:dyDescent="0.3">
      <c r="A35" s="1" t="s">
        <v>161</v>
      </c>
      <c r="B35" s="1" t="s">
        <v>162</v>
      </c>
      <c r="C35" s="1" t="s">
        <v>163</v>
      </c>
      <c r="D35" s="1" t="s">
        <v>29</v>
      </c>
      <c r="E35" s="1">
        <v>40</v>
      </c>
      <c r="F35" s="1" t="s">
        <v>84</v>
      </c>
      <c r="G35" s="1" t="s">
        <v>31</v>
      </c>
      <c r="H35" s="1" t="s">
        <v>32</v>
      </c>
      <c r="I35" s="1" t="s">
        <v>151</v>
      </c>
      <c r="J35" s="1">
        <v>7</v>
      </c>
      <c r="K35" s="1">
        <v>2300</v>
      </c>
      <c r="L35" s="1">
        <f t="shared" si="0"/>
        <v>15</v>
      </c>
      <c r="M35" s="1">
        <f t="shared" si="1"/>
        <v>13685</v>
      </c>
      <c r="N35" s="1">
        <f t="shared" si="2"/>
        <v>2737</v>
      </c>
      <c r="O35" s="1" t="s">
        <v>24</v>
      </c>
      <c r="P35" s="1" t="str">
        <f t="shared" ca="1" si="3"/>
        <v>Cancelled</v>
      </c>
    </row>
    <row r="36" spans="1:16" x14ac:dyDescent="0.3">
      <c r="A36" s="1" t="s">
        <v>164</v>
      </c>
      <c r="B36" s="1" t="s">
        <v>165</v>
      </c>
      <c r="C36" s="1" t="s">
        <v>129</v>
      </c>
      <c r="D36" s="1" t="s">
        <v>29</v>
      </c>
      <c r="E36" s="1">
        <v>45</v>
      </c>
      <c r="F36" s="1" t="s">
        <v>125</v>
      </c>
      <c r="G36" s="1" t="s">
        <v>126</v>
      </c>
      <c r="H36" s="1" t="s">
        <v>32</v>
      </c>
      <c r="I36" s="1" t="s">
        <v>151</v>
      </c>
      <c r="J36" s="1">
        <v>3</v>
      </c>
      <c r="K36" s="1">
        <v>7800</v>
      </c>
      <c r="L36" s="1">
        <f t="shared" si="0"/>
        <v>5</v>
      </c>
      <c r="M36" s="1">
        <f t="shared" si="1"/>
        <v>22230</v>
      </c>
      <c r="N36" s="1">
        <f t="shared" si="2"/>
        <v>4446</v>
      </c>
      <c r="O36" s="1" t="s">
        <v>24</v>
      </c>
      <c r="P36" s="1" t="str">
        <f t="shared" ca="1" si="3"/>
        <v>Pending</v>
      </c>
    </row>
    <row r="37" spans="1:16" x14ac:dyDescent="0.3">
      <c r="A37" s="1" t="s">
        <v>166</v>
      </c>
      <c r="B37" s="1" t="s">
        <v>167</v>
      </c>
      <c r="C37" s="1" t="s">
        <v>136</v>
      </c>
      <c r="D37" s="1" t="s">
        <v>19</v>
      </c>
      <c r="E37" s="1">
        <v>33</v>
      </c>
      <c r="F37" s="1" t="s">
        <v>20</v>
      </c>
      <c r="G37" s="1" t="s">
        <v>21</v>
      </c>
      <c r="H37" s="1" t="s">
        <v>32</v>
      </c>
      <c r="I37" s="1" t="s">
        <v>68</v>
      </c>
      <c r="J37" s="1">
        <v>8</v>
      </c>
      <c r="K37" s="1">
        <v>1450</v>
      </c>
      <c r="L37" s="1">
        <f t="shared" si="0"/>
        <v>20</v>
      </c>
      <c r="M37" s="1">
        <f t="shared" si="1"/>
        <v>9280</v>
      </c>
      <c r="N37" s="1">
        <f t="shared" si="2"/>
        <v>1856</v>
      </c>
      <c r="O37" s="1" t="s">
        <v>98</v>
      </c>
      <c r="P37" s="1" t="str">
        <f t="shared" ca="1" si="3"/>
        <v>Pending</v>
      </c>
    </row>
    <row r="38" spans="1:16" x14ac:dyDescent="0.3">
      <c r="A38" s="1" t="s">
        <v>168</v>
      </c>
      <c r="B38" s="1" t="s">
        <v>169</v>
      </c>
      <c r="C38" s="1" t="s">
        <v>170</v>
      </c>
      <c r="D38" s="1" t="s">
        <v>29</v>
      </c>
      <c r="E38" s="1">
        <v>39</v>
      </c>
      <c r="F38" s="1" t="s">
        <v>147</v>
      </c>
      <c r="G38" s="1" t="s">
        <v>44</v>
      </c>
      <c r="H38" s="1" t="s">
        <v>32</v>
      </c>
      <c r="I38" s="1" t="s">
        <v>151</v>
      </c>
      <c r="J38" s="1">
        <v>1</v>
      </c>
      <c r="K38" s="1">
        <v>3600</v>
      </c>
      <c r="L38" s="1">
        <f t="shared" si="0"/>
        <v>5</v>
      </c>
      <c r="M38" s="1">
        <f t="shared" si="1"/>
        <v>3420</v>
      </c>
      <c r="N38" s="1">
        <f t="shared" si="2"/>
        <v>684</v>
      </c>
      <c r="O38" s="1" t="s">
        <v>47</v>
      </c>
      <c r="P38" s="1" t="str">
        <f t="shared" ca="1" si="3"/>
        <v>Cancelled</v>
      </c>
    </row>
    <row r="39" spans="1:16" x14ac:dyDescent="0.3">
      <c r="A39" s="1" t="s">
        <v>171</v>
      </c>
      <c r="B39" s="1" t="s">
        <v>172</v>
      </c>
      <c r="C39" s="1" t="s">
        <v>173</v>
      </c>
      <c r="D39" s="1" t="s">
        <v>29</v>
      </c>
      <c r="E39" s="1">
        <v>31</v>
      </c>
      <c r="F39" s="1" t="s">
        <v>20</v>
      </c>
      <c r="G39" s="1" t="s">
        <v>21</v>
      </c>
      <c r="H39" s="1" t="s">
        <v>59</v>
      </c>
      <c r="I39" s="1" t="s">
        <v>89</v>
      </c>
      <c r="J39" s="1">
        <v>3</v>
      </c>
      <c r="K39" s="1">
        <v>2125</v>
      </c>
      <c r="L39" s="1">
        <f t="shared" si="0"/>
        <v>5</v>
      </c>
      <c r="M39" s="1">
        <f t="shared" si="1"/>
        <v>6056.25</v>
      </c>
      <c r="N39" s="1">
        <f t="shared" si="2"/>
        <v>1211.25</v>
      </c>
      <c r="O39" s="1" t="s">
        <v>34</v>
      </c>
      <c r="P39" s="1" t="str">
        <f t="shared" ca="1" si="3"/>
        <v>Pending</v>
      </c>
    </row>
    <row r="40" spans="1:16" x14ac:dyDescent="0.3">
      <c r="A40" s="1" t="s">
        <v>174</v>
      </c>
      <c r="B40" s="1" t="s">
        <v>175</v>
      </c>
      <c r="C40" s="1" t="s">
        <v>176</v>
      </c>
      <c r="D40" s="1" t="s">
        <v>29</v>
      </c>
      <c r="E40" s="1">
        <v>25</v>
      </c>
      <c r="F40" s="1" t="s">
        <v>97</v>
      </c>
      <c r="G40" s="1" t="s">
        <v>31</v>
      </c>
      <c r="H40" s="1" t="s">
        <v>32</v>
      </c>
      <c r="I40" s="1" t="s">
        <v>104</v>
      </c>
      <c r="J40" s="1">
        <v>1</v>
      </c>
      <c r="K40" s="1">
        <v>590</v>
      </c>
      <c r="L40" s="1">
        <f t="shared" si="0"/>
        <v>5</v>
      </c>
      <c r="M40" s="1">
        <f t="shared" si="1"/>
        <v>560.5</v>
      </c>
      <c r="N40" s="1">
        <f t="shared" si="2"/>
        <v>112.10000000000001</v>
      </c>
      <c r="O40" s="1" t="s">
        <v>98</v>
      </c>
      <c r="P40" s="1" t="str">
        <f t="shared" ca="1" si="3"/>
        <v>Delivered</v>
      </c>
    </row>
    <row r="41" spans="1:16" x14ac:dyDescent="0.3">
      <c r="A41" s="1" t="s">
        <v>177</v>
      </c>
      <c r="B41" s="1" t="s">
        <v>178</v>
      </c>
      <c r="C41" s="1" t="s">
        <v>136</v>
      </c>
      <c r="D41" s="1" t="s">
        <v>29</v>
      </c>
      <c r="E41" s="1">
        <v>39</v>
      </c>
      <c r="F41" s="1" t="s">
        <v>52</v>
      </c>
      <c r="G41" s="1" t="s">
        <v>53</v>
      </c>
      <c r="H41" s="1" t="s">
        <v>59</v>
      </c>
      <c r="I41" s="1" t="s">
        <v>118</v>
      </c>
      <c r="J41" s="1">
        <v>1</v>
      </c>
      <c r="K41" s="1">
        <v>4725</v>
      </c>
      <c r="L41" s="1">
        <f t="shared" si="0"/>
        <v>5</v>
      </c>
      <c r="M41" s="1">
        <f t="shared" si="1"/>
        <v>4488.75</v>
      </c>
      <c r="N41" s="1">
        <f t="shared" si="2"/>
        <v>897.75</v>
      </c>
      <c r="O41" s="1" t="s">
        <v>34</v>
      </c>
      <c r="P41" s="1" t="str">
        <f t="shared" ca="1" si="3"/>
        <v>Pending</v>
      </c>
    </row>
    <row r="42" spans="1:16" x14ac:dyDescent="0.3">
      <c r="A42" s="1" t="s">
        <v>179</v>
      </c>
      <c r="B42" s="1" t="s">
        <v>180</v>
      </c>
      <c r="C42" s="1" t="s">
        <v>96</v>
      </c>
      <c r="D42" s="1" t="s">
        <v>19</v>
      </c>
      <c r="E42" s="1">
        <v>34</v>
      </c>
      <c r="F42" s="1" t="s">
        <v>76</v>
      </c>
      <c r="G42" s="1" t="s">
        <v>77</v>
      </c>
      <c r="H42" s="1" t="s">
        <v>32</v>
      </c>
      <c r="I42" s="1" t="s">
        <v>151</v>
      </c>
      <c r="J42" s="1">
        <v>3</v>
      </c>
      <c r="K42" s="1">
        <v>2850</v>
      </c>
      <c r="L42" s="1">
        <f t="shared" si="0"/>
        <v>5</v>
      </c>
      <c r="M42" s="1">
        <f t="shared" si="1"/>
        <v>8122.5</v>
      </c>
      <c r="N42" s="1">
        <f t="shared" si="2"/>
        <v>1624.5</v>
      </c>
      <c r="O42" s="1" t="s">
        <v>98</v>
      </c>
      <c r="P42" s="1" t="str">
        <f t="shared" ca="1" si="3"/>
        <v>Cancelled</v>
      </c>
    </row>
    <row r="43" spans="1:16" x14ac:dyDescent="0.3">
      <c r="A43" s="1" t="s">
        <v>181</v>
      </c>
      <c r="B43" s="1" t="s">
        <v>182</v>
      </c>
      <c r="C43" s="1" t="s">
        <v>67</v>
      </c>
      <c r="D43" s="1" t="s">
        <v>19</v>
      </c>
      <c r="E43" s="1">
        <v>41</v>
      </c>
      <c r="F43" s="1" t="s">
        <v>20</v>
      </c>
      <c r="G43" s="1" t="s">
        <v>21</v>
      </c>
      <c r="H43" s="1" t="s">
        <v>32</v>
      </c>
      <c r="I43" s="1" t="s">
        <v>151</v>
      </c>
      <c r="J43" s="1">
        <v>3</v>
      </c>
      <c r="K43" s="1">
        <v>1180</v>
      </c>
      <c r="L43" s="1">
        <f t="shared" si="0"/>
        <v>5</v>
      </c>
      <c r="M43" s="1">
        <f t="shared" si="1"/>
        <v>3363</v>
      </c>
      <c r="N43" s="1">
        <f t="shared" si="2"/>
        <v>672.6</v>
      </c>
      <c r="O43" s="1" t="s">
        <v>47</v>
      </c>
      <c r="P43" s="1" t="str">
        <f t="shared" ca="1" si="3"/>
        <v>Delivered</v>
      </c>
    </row>
    <row r="44" spans="1:16" x14ac:dyDescent="0.3">
      <c r="A44" s="1" t="s">
        <v>183</v>
      </c>
      <c r="B44" s="1" t="s">
        <v>184</v>
      </c>
      <c r="C44" s="1" t="s">
        <v>80</v>
      </c>
      <c r="D44" s="1" t="s">
        <v>29</v>
      </c>
      <c r="E44" s="1">
        <v>24</v>
      </c>
      <c r="F44" s="1" t="s">
        <v>43</v>
      </c>
      <c r="G44" s="1" t="s">
        <v>44</v>
      </c>
      <c r="H44" s="1" t="s">
        <v>32</v>
      </c>
      <c r="I44" s="1" t="s">
        <v>68</v>
      </c>
      <c r="J44" s="1">
        <v>4</v>
      </c>
      <c r="K44" s="1">
        <v>6500</v>
      </c>
      <c r="L44" s="1">
        <f t="shared" si="0"/>
        <v>10</v>
      </c>
      <c r="M44" s="1">
        <f t="shared" si="1"/>
        <v>23400</v>
      </c>
      <c r="N44" s="1">
        <f t="shared" si="2"/>
        <v>4680</v>
      </c>
      <c r="O44" s="1" t="s">
        <v>98</v>
      </c>
      <c r="P44" s="1" t="str">
        <f t="shared" ca="1" si="3"/>
        <v>Pending</v>
      </c>
    </row>
    <row r="45" spans="1:16" x14ac:dyDescent="0.3">
      <c r="A45" s="1" t="s">
        <v>185</v>
      </c>
      <c r="B45" s="1" t="s">
        <v>186</v>
      </c>
      <c r="C45" s="1" t="s">
        <v>187</v>
      </c>
      <c r="D45" s="1" t="s">
        <v>29</v>
      </c>
      <c r="E45" s="1">
        <v>50</v>
      </c>
      <c r="F45" s="1" t="s">
        <v>52</v>
      </c>
      <c r="G45" s="1" t="s">
        <v>53</v>
      </c>
      <c r="H45" s="1" t="s">
        <v>45</v>
      </c>
      <c r="I45" s="1" t="s">
        <v>188</v>
      </c>
      <c r="J45" s="1">
        <v>8</v>
      </c>
      <c r="K45" s="1">
        <v>1950</v>
      </c>
      <c r="L45" s="1">
        <f t="shared" si="0"/>
        <v>20</v>
      </c>
      <c r="M45" s="1">
        <f t="shared" si="1"/>
        <v>12480</v>
      </c>
      <c r="N45" s="1">
        <f t="shared" si="2"/>
        <v>2496</v>
      </c>
      <c r="O45" s="1" t="s">
        <v>24</v>
      </c>
      <c r="P45" s="1" t="str">
        <f t="shared" ca="1" si="3"/>
        <v>Returned</v>
      </c>
    </row>
    <row r="46" spans="1:16" x14ac:dyDescent="0.3">
      <c r="A46" s="1" t="s">
        <v>189</v>
      </c>
      <c r="B46" s="1" t="s">
        <v>190</v>
      </c>
      <c r="C46" s="1" t="s">
        <v>51</v>
      </c>
      <c r="D46" s="1" t="s">
        <v>19</v>
      </c>
      <c r="E46" s="1">
        <v>21</v>
      </c>
      <c r="F46" s="1" t="s">
        <v>43</v>
      </c>
      <c r="G46" s="1" t="s">
        <v>44</v>
      </c>
      <c r="H46" s="1" t="s">
        <v>22</v>
      </c>
      <c r="I46" s="1" t="s">
        <v>54</v>
      </c>
      <c r="J46" s="1">
        <v>8</v>
      </c>
      <c r="K46" s="1">
        <v>3400</v>
      </c>
      <c r="L46" s="1">
        <f t="shared" si="0"/>
        <v>20</v>
      </c>
      <c r="M46" s="1">
        <f t="shared" si="1"/>
        <v>21760</v>
      </c>
      <c r="N46" s="1">
        <f t="shared" si="2"/>
        <v>4352</v>
      </c>
      <c r="O46" s="1" t="s">
        <v>98</v>
      </c>
      <c r="P46" s="1" t="str">
        <f t="shared" ca="1" si="3"/>
        <v>Delivered</v>
      </c>
    </row>
    <row r="47" spans="1:16" x14ac:dyDescent="0.3">
      <c r="A47" s="1" t="s">
        <v>191</v>
      </c>
      <c r="B47" s="1" t="s">
        <v>192</v>
      </c>
      <c r="C47" s="1" t="s">
        <v>150</v>
      </c>
      <c r="D47" s="1" t="s">
        <v>19</v>
      </c>
      <c r="E47" s="1">
        <v>26</v>
      </c>
      <c r="F47" s="1" t="s">
        <v>20</v>
      </c>
      <c r="G47" s="1" t="s">
        <v>21</v>
      </c>
      <c r="H47" s="1" t="s">
        <v>45</v>
      </c>
      <c r="I47" s="1" t="s">
        <v>188</v>
      </c>
      <c r="J47" s="1">
        <v>8</v>
      </c>
      <c r="K47" s="1">
        <v>725</v>
      </c>
      <c r="L47" s="1">
        <f t="shared" si="0"/>
        <v>20</v>
      </c>
      <c r="M47" s="1">
        <f t="shared" si="1"/>
        <v>4640</v>
      </c>
      <c r="N47" s="1">
        <f t="shared" si="2"/>
        <v>928</v>
      </c>
      <c r="O47" s="1" t="s">
        <v>98</v>
      </c>
      <c r="P47" s="1" t="str">
        <f t="shared" ca="1" si="3"/>
        <v>Cancelled</v>
      </c>
    </row>
    <row r="48" spans="1:16" x14ac:dyDescent="0.3">
      <c r="A48" s="1" t="s">
        <v>193</v>
      </c>
      <c r="B48" s="1" t="s">
        <v>194</v>
      </c>
      <c r="C48" s="1" t="s">
        <v>195</v>
      </c>
      <c r="D48" s="1" t="s">
        <v>29</v>
      </c>
      <c r="E48" s="1">
        <v>30</v>
      </c>
      <c r="F48" s="1" t="s">
        <v>76</v>
      </c>
      <c r="G48" s="1" t="s">
        <v>77</v>
      </c>
      <c r="H48" s="1" t="s">
        <v>45</v>
      </c>
      <c r="I48" s="1" t="s">
        <v>196</v>
      </c>
      <c r="J48" s="1">
        <v>5</v>
      </c>
      <c r="K48" s="1">
        <v>4150</v>
      </c>
      <c r="L48" s="1">
        <f t="shared" si="0"/>
        <v>10</v>
      </c>
      <c r="M48" s="1">
        <f t="shared" si="1"/>
        <v>18675</v>
      </c>
      <c r="N48" s="1">
        <f t="shared" si="2"/>
        <v>3735</v>
      </c>
      <c r="O48" s="1" t="s">
        <v>34</v>
      </c>
      <c r="P48" s="1" t="str">
        <f t="shared" ca="1" si="3"/>
        <v>Cancelled</v>
      </c>
    </row>
    <row r="49" spans="1:16" x14ac:dyDescent="0.3">
      <c r="A49" s="1" t="s">
        <v>197</v>
      </c>
      <c r="B49" s="1" t="s">
        <v>198</v>
      </c>
      <c r="C49" s="1" t="s">
        <v>199</v>
      </c>
      <c r="D49" s="1" t="s">
        <v>29</v>
      </c>
      <c r="E49" s="1">
        <v>33</v>
      </c>
      <c r="F49" s="1" t="s">
        <v>97</v>
      </c>
      <c r="G49" s="1" t="s">
        <v>31</v>
      </c>
      <c r="H49" s="1" t="s">
        <v>45</v>
      </c>
      <c r="I49" s="1" t="s">
        <v>46</v>
      </c>
      <c r="J49" s="1">
        <v>2</v>
      </c>
      <c r="K49" s="1">
        <v>2550</v>
      </c>
      <c r="L49" s="1">
        <f t="shared" si="0"/>
        <v>5</v>
      </c>
      <c r="M49" s="1">
        <f t="shared" si="1"/>
        <v>4845</v>
      </c>
      <c r="N49" s="1">
        <f t="shared" si="2"/>
        <v>969</v>
      </c>
      <c r="O49" s="1" t="s">
        <v>34</v>
      </c>
      <c r="P49" s="1" t="str">
        <f t="shared" ca="1" si="3"/>
        <v>Delivered</v>
      </c>
    </row>
    <row r="50" spans="1:16" x14ac:dyDescent="0.3">
      <c r="A50" s="1" t="s">
        <v>200</v>
      </c>
      <c r="B50" s="1" t="s">
        <v>201</v>
      </c>
      <c r="C50" s="1" t="s">
        <v>202</v>
      </c>
      <c r="D50" s="1" t="s">
        <v>29</v>
      </c>
      <c r="E50" s="1">
        <v>26</v>
      </c>
      <c r="F50" s="1" t="s">
        <v>125</v>
      </c>
      <c r="G50" s="1" t="s">
        <v>126</v>
      </c>
      <c r="H50" s="1" t="s">
        <v>45</v>
      </c>
      <c r="I50" s="1" t="s">
        <v>188</v>
      </c>
      <c r="J50" s="1">
        <v>1</v>
      </c>
      <c r="K50" s="1">
        <v>9800</v>
      </c>
      <c r="L50" s="1">
        <f t="shared" si="0"/>
        <v>5</v>
      </c>
      <c r="M50" s="1">
        <f t="shared" si="1"/>
        <v>9310</v>
      </c>
      <c r="N50" s="1">
        <f t="shared" si="2"/>
        <v>1862</v>
      </c>
      <c r="O50" s="1" t="s">
        <v>24</v>
      </c>
      <c r="P50" s="1" t="str">
        <f t="shared" ca="1" si="3"/>
        <v>Pending</v>
      </c>
    </row>
    <row r="51" spans="1:16" x14ac:dyDescent="0.3">
      <c r="A51" s="1" t="s">
        <v>203</v>
      </c>
      <c r="B51" s="1" t="s">
        <v>204</v>
      </c>
      <c r="C51" s="1" t="s">
        <v>202</v>
      </c>
      <c r="D51" s="1" t="s">
        <v>19</v>
      </c>
      <c r="E51" s="1">
        <v>36</v>
      </c>
      <c r="F51" s="1" t="s">
        <v>108</v>
      </c>
      <c r="G51" s="1" t="s">
        <v>108</v>
      </c>
      <c r="H51" s="1" t="s">
        <v>45</v>
      </c>
      <c r="I51" s="1" t="s">
        <v>188</v>
      </c>
      <c r="J51" s="1">
        <v>7</v>
      </c>
      <c r="K51" s="1">
        <v>1600</v>
      </c>
      <c r="L51" s="1">
        <f t="shared" si="0"/>
        <v>15</v>
      </c>
      <c r="M51" s="1">
        <f t="shared" si="1"/>
        <v>9520</v>
      </c>
      <c r="N51" s="1">
        <f t="shared" si="2"/>
        <v>1904</v>
      </c>
      <c r="O51" s="1" t="s">
        <v>24</v>
      </c>
      <c r="P51" s="1" t="str">
        <f t="shared" ca="1" si="3"/>
        <v>Pending</v>
      </c>
    </row>
    <row r="52" spans="1:16" x14ac:dyDescent="0.3">
      <c r="A52" s="1" t="s">
        <v>205</v>
      </c>
      <c r="B52" s="1" t="s">
        <v>206</v>
      </c>
      <c r="C52" s="1" t="s">
        <v>207</v>
      </c>
      <c r="D52" s="1" t="s">
        <v>19</v>
      </c>
      <c r="E52" s="1">
        <v>59</v>
      </c>
      <c r="F52" s="1" t="s">
        <v>52</v>
      </c>
      <c r="G52" s="1" t="s">
        <v>53</v>
      </c>
      <c r="H52" s="1" t="s">
        <v>59</v>
      </c>
      <c r="I52" s="1" t="s">
        <v>89</v>
      </c>
      <c r="J52" s="1">
        <v>6</v>
      </c>
      <c r="K52" s="1">
        <v>520</v>
      </c>
      <c r="L52" s="1">
        <f t="shared" si="0"/>
        <v>15</v>
      </c>
      <c r="M52" s="1">
        <f t="shared" si="1"/>
        <v>2652</v>
      </c>
      <c r="N52" s="1">
        <f t="shared" si="2"/>
        <v>530.4</v>
      </c>
      <c r="O52" s="1" t="s">
        <v>98</v>
      </c>
      <c r="P52" s="1" t="str">
        <f t="shared" ca="1" si="3"/>
        <v>Returned</v>
      </c>
    </row>
    <row r="53" spans="1:16" x14ac:dyDescent="0.3">
      <c r="A53" s="1" t="s">
        <v>208</v>
      </c>
      <c r="B53" s="1" t="s">
        <v>209</v>
      </c>
      <c r="C53" s="1" t="s">
        <v>210</v>
      </c>
      <c r="D53" s="1" t="s">
        <v>19</v>
      </c>
      <c r="E53" s="1">
        <v>32</v>
      </c>
      <c r="F53" s="1" t="s">
        <v>97</v>
      </c>
      <c r="G53" s="1" t="s">
        <v>31</v>
      </c>
      <c r="H53" s="1" t="s">
        <v>59</v>
      </c>
      <c r="I53" s="1" t="s">
        <v>118</v>
      </c>
      <c r="J53" s="1">
        <v>2</v>
      </c>
      <c r="K53" s="1">
        <v>4350</v>
      </c>
      <c r="L53" s="1">
        <f t="shared" si="0"/>
        <v>5</v>
      </c>
      <c r="M53" s="1">
        <f t="shared" si="1"/>
        <v>8265</v>
      </c>
      <c r="N53" s="1">
        <f t="shared" si="2"/>
        <v>1653</v>
      </c>
      <c r="O53" s="1" t="s">
        <v>34</v>
      </c>
      <c r="P53" s="1" t="str">
        <f t="shared" ca="1" si="3"/>
        <v>Cancelled</v>
      </c>
    </row>
    <row r="54" spans="1:16" x14ac:dyDescent="0.3">
      <c r="A54" s="1" t="s">
        <v>211</v>
      </c>
      <c r="B54" s="1" t="s">
        <v>212</v>
      </c>
      <c r="C54" s="1" t="s">
        <v>213</v>
      </c>
      <c r="D54" s="1" t="s">
        <v>29</v>
      </c>
      <c r="E54" s="1">
        <v>29</v>
      </c>
      <c r="F54" s="1" t="s">
        <v>97</v>
      </c>
      <c r="G54" s="1" t="s">
        <v>31</v>
      </c>
      <c r="H54" s="1" t="s">
        <v>45</v>
      </c>
      <c r="I54" s="1" t="s">
        <v>93</v>
      </c>
      <c r="J54" s="1">
        <v>4</v>
      </c>
      <c r="K54" s="1">
        <v>2755</v>
      </c>
      <c r="L54" s="1">
        <f t="shared" si="0"/>
        <v>10</v>
      </c>
      <c r="M54" s="1">
        <f t="shared" si="1"/>
        <v>9918</v>
      </c>
      <c r="N54" s="1">
        <f t="shared" si="2"/>
        <v>1983.6000000000001</v>
      </c>
      <c r="O54" s="1" t="s">
        <v>24</v>
      </c>
      <c r="P54" s="1" t="str">
        <f t="shared" ca="1" si="3"/>
        <v>Cancelled</v>
      </c>
    </row>
    <row r="55" spans="1:16" x14ac:dyDescent="0.3">
      <c r="A55" s="1" t="s">
        <v>214</v>
      </c>
      <c r="B55" s="1" t="s">
        <v>215</v>
      </c>
      <c r="C55" s="1" t="s">
        <v>216</v>
      </c>
      <c r="D55" s="1" t="s">
        <v>19</v>
      </c>
      <c r="E55" s="1">
        <v>24</v>
      </c>
      <c r="F55" s="1" t="s">
        <v>108</v>
      </c>
      <c r="G55" s="1" t="s">
        <v>108</v>
      </c>
      <c r="H55" s="1" t="s">
        <v>22</v>
      </c>
      <c r="I55" s="1" t="s">
        <v>85</v>
      </c>
      <c r="J55" s="1">
        <v>6</v>
      </c>
      <c r="K55" s="1">
        <v>1490</v>
      </c>
      <c r="L55" s="1">
        <f t="shared" si="0"/>
        <v>15</v>
      </c>
      <c r="M55" s="1">
        <f t="shared" si="1"/>
        <v>7599</v>
      </c>
      <c r="N55" s="1">
        <f t="shared" si="2"/>
        <v>1519.8000000000002</v>
      </c>
      <c r="O55" s="1" t="s">
        <v>98</v>
      </c>
      <c r="P55" s="1" t="str">
        <f t="shared" ca="1" si="3"/>
        <v>Returned</v>
      </c>
    </row>
    <row r="56" spans="1:16" x14ac:dyDescent="0.3">
      <c r="A56" s="1" t="s">
        <v>217</v>
      </c>
      <c r="B56" s="1" t="s">
        <v>218</v>
      </c>
      <c r="C56" s="1" t="s">
        <v>63</v>
      </c>
      <c r="D56" s="1" t="s">
        <v>19</v>
      </c>
      <c r="E56" s="1">
        <v>25</v>
      </c>
      <c r="F56" s="1" t="s">
        <v>147</v>
      </c>
      <c r="G56" s="1" t="s">
        <v>44</v>
      </c>
      <c r="H56" s="1" t="s">
        <v>32</v>
      </c>
      <c r="I56" s="1" t="s">
        <v>151</v>
      </c>
      <c r="J56" s="1">
        <v>8</v>
      </c>
      <c r="K56" s="1">
        <v>3850</v>
      </c>
      <c r="L56" s="1">
        <f t="shared" si="0"/>
        <v>20</v>
      </c>
      <c r="M56" s="1">
        <f t="shared" si="1"/>
        <v>24640</v>
      </c>
      <c r="N56" s="1">
        <f t="shared" si="2"/>
        <v>4928</v>
      </c>
      <c r="O56" s="1" t="s">
        <v>98</v>
      </c>
      <c r="P56" s="1" t="str">
        <f t="shared" ca="1" si="3"/>
        <v>Pending</v>
      </c>
    </row>
    <row r="57" spans="1:16" x14ac:dyDescent="0.3">
      <c r="A57" s="1" t="s">
        <v>219</v>
      </c>
      <c r="B57" s="1" t="s">
        <v>220</v>
      </c>
      <c r="C57" s="1" t="s">
        <v>221</v>
      </c>
      <c r="D57" s="1" t="s">
        <v>19</v>
      </c>
      <c r="E57" s="1">
        <v>33</v>
      </c>
      <c r="F57" s="1" t="s">
        <v>20</v>
      </c>
      <c r="G57" s="1" t="s">
        <v>21</v>
      </c>
      <c r="H57" s="1" t="s">
        <v>32</v>
      </c>
      <c r="I57" s="1" t="s">
        <v>104</v>
      </c>
      <c r="J57" s="1">
        <v>6</v>
      </c>
      <c r="K57" s="1">
        <v>615</v>
      </c>
      <c r="L57" s="1">
        <f t="shared" si="0"/>
        <v>15</v>
      </c>
      <c r="M57" s="1">
        <f t="shared" si="1"/>
        <v>3136.5</v>
      </c>
      <c r="N57" s="1">
        <f t="shared" si="2"/>
        <v>627.30000000000007</v>
      </c>
      <c r="O57" s="1" t="s">
        <v>47</v>
      </c>
      <c r="P57" s="1" t="str">
        <f t="shared" ca="1" si="3"/>
        <v>Returned</v>
      </c>
    </row>
    <row r="58" spans="1:16" x14ac:dyDescent="0.3">
      <c r="A58" s="1" t="s">
        <v>222</v>
      </c>
      <c r="B58" s="1" t="s">
        <v>223</v>
      </c>
      <c r="C58" s="1" t="s">
        <v>224</v>
      </c>
      <c r="D58" s="1" t="s">
        <v>19</v>
      </c>
      <c r="E58" s="1">
        <v>33</v>
      </c>
      <c r="F58" s="1" t="s">
        <v>108</v>
      </c>
      <c r="G58" s="1" t="s">
        <v>108</v>
      </c>
      <c r="H58" s="1" t="s">
        <v>32</v>
      </c>
      <c r="I58" s="1" t="s">
        <v>68</v>
      </c>
      <c r="J58" s="1">
        <v>7</v>
      </c>
      <c r="K58" s="1">
        <v>2100</v>
      </c>
      <c r="L58" s="1">
        <f t="shared" si="0"/>
        <v>15</v>
      </c>
      <c r="M58" s="1">
        <f t="shared" si="1"/>
        <v>12495</v>
      </c>
      <c r="N58" s="1">
        <f t="shared" si="2"/>
        <v>2499</v>
      </c>
      <c r="O58" s="1" t="s">
        <v>47</v>
      </c>
      <c r="P58" s="1" t="str">
        <f t="shared" ca="1" si="3"/>
        <v>Cancelled</v>
      </c>
    </row>
    <row r="59" spans="1:16" x14ac:dyDescent="0.3">
      <c r="A59" s="1" t="s">
        <v>225</v>
      </c>
      <c r="B59" s="1" t="s">
        <v>226</v>
      </c>
      <c r="C59" s="1" t="s">
        <v>51</v>
      </c>
      <c r="D59" s="1" t="s">
        <v>29</v>
      </c>
      <c r="E59" s="1">
        <v>37</v>
      </c>
      <c r="F59" s="1" t="s">
        <v>52</v>
      </c>
      <c r="G59" s="1" t="s">
        <v>53</v>
      </c>
      <c r="H59" s="1" t="s">
        <v>22</v>
      </c>
      <c r="I59" s="1" t="s">
        <v>133</v>
      </c>
      <c r="J59" s="1">
        <v>5</v>
      </c>
      <c r="K59" s="1">
        <v>5750</v>
      </c>
      <c r="L59" s="1">
        <f t="shared" si="0"/>
        <v>10</v>
      </c>
      <c r="M59" s="1">
        <f t="shared" si="1"/>
        <v>25875</v>
      </c>
      <c r="N59" s="1">
        <f t="shared" si="2"/>
        <v>5175</v>
      </c>
      <c r="O59" s="1" t="s">
        <v>98</v>
      </c>
      <c r="P59" s="1" t="str">
        <f t="shared" ca="1" si="3"/>
        <v>Delivered</v>
      </c>
    </row>
    <row r="60" spans="1:16" x14ac:dyDescent="0.3">
      <c r="A60" s="1" t="s">
        <v>227</v>
      </c>
      <c r="B60" s="1" t="s">
        <v>228</v>
      </c>
      <c r="C60" s="1" t="s">
        <v>229</v>
      </c>
      <c r="D60" s="1" t="s">
        <v>29</v>
      </c>
      <c r="E60" s="1">
        <v>26</v>
      </c>
      <c r="F60" s="1" t="s">
        <v>76</v>
      </c>
      <c r="G60" s="1" t="s">
        <v>77</v>
      </c>
      <c r="H60" s="1" t="s">
        <v>59</v>
      </c>
      <c r="I60" s="1" t="s">
        <v>118</v>
      </c>
      <c r="J60" s="1">
        <v>5</v>
      </c>
      <c r="K60" s="1">
        <v>1880</v>
      </c>
      <c r="L60" s="1">
        <f t="shared" si="0"/>
        <v>10</v>
      </c>
      <c r="M60" s="1">
        <f t="shared" si="1"/>
        <v>8460</v>
      </c>
      <c r="N60" s="1">
        <f t="shared" si="2"/>
        <v>1692</v>
      </c>
      <c r="O60" s="1" t="s">
        <v>47</v>
      </c>
      <c r="P60" s="1" t="str">
        <f t="shared" ca="1" si="3"/>
        <v>Delivered</v>
      </c>
    </row>
    <row r="61" spans="1:16" x14ac:dyDescent="0.3">
      <c r="A61" s="1" t="s">
        <v>230</v>
      </c>
      <c r="B61" s="1" t="s">
        <v>231</v>
      </c>
      <c r="C61" s="1" t="s">
        <v>232</v>
      </c>
      <c r="D61" s="1" t="s">
        <v>19</v>
      </c>
      <c r="E61" s="1">
        <v>26</v>
      </c>
      <c r="F61" s="1" t="s">
        <v>147</v>
      </c>
      <c r="G61" s="1" t="s">
        <v>44</v>
      </c>
      <c r="H61" s="1" t="s">
        <v>59</v>
      </c>
      <c r="I61" s="1" t="s">
        <v>118</v>
      </c>
      <c r="J61" s="1">
        <v>3</v>
      </c>
      <c r="K61" s="1">
        <v>4550</v>
      </c>
      <c r="L61" s="1">
        <f t="shared" si="0"/>
        <v>5</v>
      </c>
      <c r="M61" s="1">
        <f t="shared" si="1"/>
        <v>12967.5</v>
      </c>
      <c r="N61" s="1">
        <f t="shared" si="2"/>
        <v>2593.5</v>
      </c>
      <c r="O61" s="1" t="s">
        <v>98</v>
      </c>
      <c r="P61" s="1" t="str">
        <f t="shared" ca="1" si="3"/>
        <v>Pending</v>
      </c>
    </row>
    <row r="62" spans="1:16" x14ac:dyDescent="0.3">
      <c r="A62" s="1" t="s">
        <v>233</v>
      </c>
      <c r="B62" s="1" t="s">
        <v>234</v>
      </c>
      <c r="C62" s="1" t="s">
        <v>235</v>
      </c>
      <c r="D62" s="1" t="s">
        <v>19</v>
      </c>
      <c r="E62" s="1">
        <v>24</v>
      </c>
      <c r="F62" s="1" t="s">
        <v>76</v>
      </c>
      <c r="G62" s="1" t="s">
        <v>77</v>
      </c>
      <c r="H62" s="1" t="s">
        <v>22</v>
      </c>
      <c r="I62" s="1" t="s">
        <v>133</v>
      </c>
      <c r="J62" s="1">
        <v>7</v>
      </c>
      <c r="K62" s="1">
        <v>1355</v>
      </c>
      <c r="L62" s="1">
        <f t="shared" si="0"/>
        <v>15</v>
      </c>
      <c r="M62" s="1">
        <f t="shared" si="1"/>
        <v>8062.25</v>
      </c>
      <c r="N62" s="1">
        <f t="shared" si="2"/>
        <v>1612.45</v>
      </c>
      <c r="O62" s="1" t="s">
        <v>24</v>
      </c>
      <c r="P62" s="1" t="str">
        <f t="shared" ca="1" si="3"/>
        <v>Returned</v>
      </c>
    </row>
    <row r="63" spans="1:16" x14ac:dyDescent="0.3">
      <c r="A63" s="1" t="s">
        <v>236</v>
      </c>
      <c r="B63" s="1" t="s">
        <v>237</v>
      </c>
      <c r="C63" s="1" t="s">
        <v>238</v>
      </c>
      <c r="D63" s="1" t="s">
        <v>29</v>
      </c>
      <c r="E63" s="1">
        <v>25</v>
      </c>
      <c r="F63" s="1" t="s">
        <v>52</v>
      </c>
      <c r="G63" s="1" t="s">
        <v>53</v>
      </c>
      <c r="H63" s="1" t="s">
        <v>32</v>
      </c>
      <c r="I63" s="1" t="s">
        <v>39</v>
      </c>
      <c r="J63" s="1">
        <v>6</v>
      </c>
      <c r="K63" s="1">
        <v>695</v>
      </c>
      <c r="L63" s="1">
        <f t="shared" si="0"/>
        <v>15</v>
      </c>
      <c r="M63" s="1">
        <f t="shared" si="1"/>
        <v>3544.5</v>
      </c>
      <c r="N63" s="1">
        <f t="shared" si="2"/>
        <v>708.90000000000009</v>
      </c>
      <c r="O63" s="1" t="s">
        <v>34</v>
      </c>
      <c r="P63" s="1" t="str">
        <f t="shared" ca="1" si="3"/>
        <v>Pending</v>
      </c>
    </row>
    <row r="64" spans="1:16" x14ac:dyDescent="0.3">
      <c r="A64" s="1" t="s">
        <v>239</v>
      </c>
      <c r="B64" s="1" t="s">
        <v>240</v>
      </c>
      <c r="C64" s="1" t="s">
        <v>241</v>
      </c>
      <c r="D64" s="1" t="s">
        <v>29</v>
      </c>
      <c r="E64" s="1">
        <v>57</v>
      </c>
      <c r="F64" s="1" t="s">
        <v>125</v>
      </c>
      <c r="G64" s="1" t="s">
        <v>126</v>
      </c>
      <c r="H64" s="1" t="s">
        <v>45</v>
      </c>
      <c r="I64" s="1" t="s">
        <v>188</v>
      </c>
      <c r="J64" s="1">
        <v>1</v>
      </c>
      <c r="K64" s="1">
        <v>3300</v>
      </c>
      <c r="L64" s="1">
        <f t="shared" si="0"/>
        <v>5</v>
      </c>
      <c r="M64" s="1">
        <f t="shared" si="1"/>
        <v>3135</v>
      </c>
      <c r="N64" s="1">
        <f t="shared" si="2"/>
        <v>627</v>
      </c>
      <c r="O64" s="1" t="s">
        <v>47</v>
      </c>
      <c r="P64" s="1" t="str">
        <f t="shared" ca="1" si="3"/>
        <v>Pending</v>
      </c>
    </row>
    <row r="65" spans="1:16" x14ac:dyDescent="0.3">
      <c r="A65" s="1" t="s">
        <v>242</v>
      </c>
      <c r="B65" s="1" t="s">
        <v>243</v>
      </c>
      <c r="C65" s="1" t="s">
        <v>244</v>
      </c>
      <c r="D65" s="1" t="s">
        <v>19</v>
      </c>
      <c r="E65" s="1">
        <v>55</v>
      </c>
      <c r="F65" s="1" t="s">
        <v>52</v>
      </c>
      <c r="G65" s="1" t="s">
        <v>53</v>
      </c>
      <c r="H65" s="1" t="s">
        <v>22</v>
      </c>
      <c r="I65" s="1" t="s">
        <v>133</v>
      </c>
      <c r="J65" s="1">
        <v>2</v>
      </c>
      <c r="K65" s="1">
        <v>2480</v>
      </c>
      <c r="L65" s="1">
        <f t="shared" si="0"/>
        <v>5</v>
      </c>
      <c r="M65" s="1">
        <f t="shared" si="1"/>
        <v>4712</v>
      </c>
      <c r="N65" s="1">
        <f t="shared" si="2"/>
        <v>942.40000000000009</v>
      </c>
      <c r="O65" s="1" t="s">
        <v>24</v>
      </c>
      <c r="P65" s="1" t="str">
        <f t="shared" ca="1" si="3"/>
        <v>Pending</v>
      </c>
    </row>
    <row r="66" spans="1:16" x14ac:dyDescent="0.3">
      <c r="A66" s="1" t="s">
        <v>245</v>
      </c>
      <c r="B66" s="1" t="s">
        <v>246</v>
      </c>
      <c r="C66" s="1" t="s">
        <v>247</v>
      </c>
      <c r="D66" s="1" t="s">
        <v>29</v>
      </c>
      <c r="E66" s="1">
        <v>57</v>
      </c>
      <c r="F66" s="1" t="s">
        <v>97</v>
      </c>
      <c r="G66" s="1" t="s">
        <v>31</v>
      </c>
      <c r="H66" s="1" t="s">
        <v>45</v>
      </c>
      <c r="I66" s="1" t="s">
        <v>188</v>
      </c>
      <c r="J66" s="1">
        <v>1</v>
      </c>
      <c r="K66" s="1">
        <v>510</v>
      </c>
      <c r="L66" s="1">
        <f t="shared" si="0"/>
        <v>5</v>
      </c>
      <c r="M66" s="1">
        <f t="shared" si="1"/>
        <v>484.5</v>
      </c>
      <c r="N66" s="1">
        <f t="shared" si="2"/>
        <v>96.9</v>
      </c>
      <c r="O66" s="1" t="s">
        <v>47</v>
      </c>
      <c r="P66" s="1" t="str">
        <f t="shared" ca="1" si="3"/>
        <v>Delivered</v>
      </c>
    </row>
    <row r="67" spans="1:16" x14ac:dyDescent="0.3">
      <c r="A67" s="1" t="s">
        <v>248</v>
      </c>
      <c r="B67" s="1" t="s">
        <v>249</v>
      </c>
      <c r="C67" s="1" t="s">
        <v>250</v>
      </c>
      <c r="D67" s="1" t="s">
        <v>19</v>
      </c>
      <c r="E67" s="1">
        <v>25</v>
      </c>
      <c r="F67" s="1" t="s">
        <v>52</v>
      </c>
      <c r="G67" s="1" t="s">
        <v>53</v>
      </c>
      <c r="H67" s="1" t="s">
        <v>45</v>
      </c>
      <c r="I67" s="1" t="s">
        <v>93</v>
      </c>
      <c r="J67" s="1">
        <v>1</v>
      </c>
      <c r="K67" s="1">
        <v>3990</v>
      </c>
      <c r="L67" s="1">
        <f t="shared" ref="L67:L101" si="4">IF(J67&gt;=8,20,IF(J67&gt;=6,15,IF(J67&gt;=4,10,5)))</f>
        <v>5</v>
      </c>
      <c r="M67" s="1">
        <f t="shared" ref="M67:M101" si="5">J67*K67*(1-L67/100)</f>
        <v>3790.5</v>
      </c>
      <c r="N67" s="1">
        <f t="shared" ref="N67:N101" si="6">M67*20%</f>
        <v>758.1</v>
      </c>
      <c r="O67" s="1" t="s">
        <v>47</v>
      </c>
      <c r="P67" s="1" t="str">
        <f t="shared" ref="P67:P101" ca="1" si="7">CHOOSE(RANDBETWEEN(1,4),"Delivered","Pending","Cancelled","Returned")</f>
        <v>Cancelled</v>
      </c>
    </row>
    <row r="68" spans="1:16" x14ac:dyDescent="0.3">
      <c r="A68" s="1" t="s">
        <v>251</v>
      </c>
      <c r="B68" s="1" t="s">
        <v>252</v>
      </c>
      <c r="C68" s="1" t="s">
        <v>253</v>
      </c>
      <c r="D68" s="1" t="s">
        <v>29</v>
      </c>
      <c r="E68" s="1">
        <v>19</v>
      </c>
      <c r="F68" s="1" t="s">
        <v>84</v>
      </c>
      <c r="G68" s="1" t="s">
        <v>31</v>
      </c>
      <c r="H68" s="1" t="s">
        <v>32</v>
      </c>
      <c r="I68" s="1" t="s">
        <v>39</v>
      </c>
      <c r="J68" s="1">
        <v>5</v>
      </c>
      <c r="K68" s="1">
        <v>275</v>
      </c>
      <c r="L68" s="1">
        <f t="shared" si="4"/>
        <v>10</v>
      </c>
      <c r="M68" s="1">
        <f t="shared" si="5"/>
        <v>1237.5</v>
      </c>
      <c r="N68" s="1">
        <f t="shared" si="6"/>
        <v>247.5</v>
      </c>
      <c r="O68" s="1" t="s">
        <v>98</v>
      </c>
      <c r="P68" s="1" t="str">
        <f t="shared" ca="1" si="7"/>
        <v>Cancelled</v>
      </c>
    </row>
    <row r="69" spans="1:16" x14ac:dyDescent="0.3">
      <c r="A69" s="1" t="s">
        <v>254</v>
      </c>
      <c r="B69" s="1" t="s">
        <v>255</v>
      </c>
      <c r="C69" s="1" t="s">
        <v>256</v>
      </c>
      <c r="D69" s="1" t="s">
        <v>19</v>
      </c>
      <c r="E69" s="1">
        <v>44</v>
      </c>
      <c r="F69" s="1" t="s">
        <v>97</v>
      </c>
      <c r="G69" s="1" t="s">
        <v>31</v>
      </c>
      <c r="H69" s="1" t="s">
        <v>59</v>
      </c>
      <c r="I69" s="1" t="s">
        <v>118</v>
      </c>
      <c r="J69" s="1">
        <v>6</v>
      </c>
      <c r="K69" s="1">
        <v>6250</v>
      </c>
      <c r="L69" s="1">
        <f t="shared" si="4"/>
        <v>15</v>
      </c>
      <c r="M69" s="1">
        <f t="shared" si="5"/>
        <v>31875</v>
      </c>
      <c r="N69" s="1">
        <f t="shared" si="6"/>
        <v>6375</v>
      </c>
      <c r="O69" s="1" t="s">
        <v>47</v>
      </c>
      <c r="P69" s="1" t="str">
        <f t="shared" ca="1" si="7"/>
        <v>Cancelled</v>
      </c>
    </row>
    <row r="70" spans="1:16" x14ac:dyDescent="0.3">
      <c r="A70" s="1" t="s">
        <v>257</v>
      </c>
      <c r="B70" s="1" t="s">
        <v>258</v>
      </c>
      <c r="C70" s="1" t="s">
        <v>259</v>
      </c>
      <c r="D70" s="1" t="s">
        <v>19</v>
      </c>
      <c r="E70" s="1">
        <v>34</v>
      </c>
      <c r="F70" s="1" t="s">
        <v>147</v>
      </c>
      <c r="G70" s="1" t="s">
        <v>44</v>
      </c>
      <c r="H70" s="1" t="s">
        <v>45</v>
      </c>
      <c r="I70" s="1" t="s">
        <v>46</v>
      </c>
      <c r="J70" s="1">
        <v>8</v>
      </c>
      <c r="K70" s="1">
        <v>1650</v>
      </c>
      <c r="L70" s="1">
        <f t="shared" si="4"/>
        <v>20</v>
      </c>
      <c r="M70" s="1">
        <f t="shared" si="5"/>
        <v>10560</v>
      </c>
      <c r="N70" s="1">
        <f t="shared" si="6"/>
        <v>2112</v>
      </c>
      <c r="O70" s="1" t="s">
        <v>34</v>
      </c>
      <c r="P70" s="1" t="str">
        <f t="shared" ca="1" si="7"/>
        <v>Delivered</v>
      </c>
    </row>
    <row r="71" spans="1:16" x14ac:dyDescent="0.3">
      <c r="A71" s="1" t="s">
        <v>260</v>
      </c>
      <c r="B71" s="1" t="s">
        <v>261</v>
      </c>
      <c r="C71" s="1" t="s">
        <v>262</v>
      </c>
      <c r="D71" s="1" t="s">
        <v>19</v>
      </c>
      <c r="E71" s="1">
        <v>26</v>
      </c>
      <c r="F71" s="1" t="s">
        <v>108</v>
      </c>
      <c r="G71" s="1" t="s">
        <v>108</v>
      </c>
      <c r="H71" s="1" t="s">
        <v>59</v>
      </c>
      <c r="I71" s="1" t="s">
        <v>89</v>
      </c>
      <c r="J71" s="1">
        <v>4</v>
      </c>
      <c r="K71" s="1">
        <v>4700</v>
      </c>
      <c r="L71" s="1">
        <f t="shared" si="4"/>
        <v>10</v>
      </c>
      <c r="M71" s="1">
        <f t="shared" si="5"/>
        <v>16920</v>
      </c>
      <c r="N71" s="1">
        <f t="shared" si="6"/>
        <v>3384</v>
      </c>
      <c r="O71" s="1" t="s">
        <v>98</v>
      </c>
      <c r="P71" s="1" t="str">
        <f t="shared" ca="1" si="7"/>
        <v>Pending</v>
      </c>
    </row>
    <row r="72" spans="1:16" x14ac:dyDescent="0.3">
      <c r="A72" s="1" t="s">
        <v>263</v>
      </c>
      <c r="B72" s="1" t="s">
        <v>264</v>
      </c>
      <c r="C72" s="1" t="s">
        <v>51</v>
      </c>
      <c r="D72" s="1" t="s">
        <v>29</v>
      </c>
      <c r="E72" s="1">
        <v>26</v>
      </c>
      <c r="F72" s="1" t="s">
        <v>125</v>
      </c>
      <c r="G72" s="1" t="s">
        <v>126</v>
      </c>
      <c r="H72" s="1" t="s">
        <v>59</v>
      </c>
      <c r="I72" s="1" t="s">
        <v>143</v>
      </c>
      <c r="J72" s="1">
        <v>4</v>
      </c>
      <c r="K72" s="1">
        <v>895</v>
      </c>
      <c r="L72" s="1">
        <f t="shared" si="4"/>
        <v>10</v>
      </c>
      <c r="M72" s="1">
        <f t="shared" si="5"/>
        <v>3222</v>
      </c>
      <c r="N72" s="1">
        <f t="shared" si="6"/>
        <v>644.40000000000009</v>
      </c>
      <c r="O72" s="1" t="s">
        <v>24</v>
      </c>
      <c r="P72" s="1" t="str">
        <f t="shared" ca="1" si="7"/>
        <v>Pending</v>
      </c>
    </row>
    <row r="73" spans="1:16" x14ac:dyDescent="0.3">
      <c r="A73" s="1" t="s">
        <v>265</v>
      </c>
      <c r="B73" s="1" t="s">
        <v>266</v>
      </c>
      <c r="C73" s="1" t="s">
        <v>267</v>
      </c>
      <c r="D73" s="1" t="s">
        <v>19</v>
      </c>
      <c r="E73" s="1">
        <v>53</v>
      </c>
      <c r="F73" s="1" t="s">
        <v>108</v>
      </c>
      <c r="G73" s="1" t="s">
        <v>108</v>
      </c>
      <c r="H73" s="1" t="s">
        <v>45</v>
      </c>
      <c r="I73" s="1" t="s">
        <v>93</v>
      </c>
      <c r="J73" s="1">
        <v>3</v>
      </c>
      <c r="K73" s="1">
        <v>3025</v>
      </c>
      <c r="L73" s="1">
        <f t="shared" si="4"/>
        <v>5</v>
      </c>
      <c r="M73" s="1">
        <f t="shared" si="5"/>
        <v>8621.25</v>
      </c>
      <c r="N73" s="1">
        <f t="shared" si="6"/>
        <v>1724.25</v>
      </c>
      <c r="O73" s="1" t="s">
        <v>34</v>
      </c>
      <c r="P73" s="1" t="str">
        <f t="shared" ca="1" si="7"/>
        <v>Cancelled</v>
      </c>
    </row>
    <row r="74" spans="1:16" x14ac:dyDescent="0.3">
      <c r="A74" s="1" t="s">
        <v>268</v>
      </c>
      <c r="B74" s="1" t="s">
        <v>269</v>
      </c>
      <c r="C74" s="1" t="s">
        <v>270</v>
      </c>
      <c r="D74" s="1" t="s">
        <v>19</v>
      </c>
      <c r="E74" s="1">
        <v>33</v>
      </c>
      <c r="F74" s="1" t="s">
        <v>84</v>
      </c>
      <c r="G74" s="1" t="s">
        <v>31</v>
      </c>
      <c r="H74" s="1" t="s">
        <v>22</v>
      </c>
      <c r="I74" s="1" t="s">
        <v>23</v>
      </c>
      <c r="J74" s="1">
        <v>6</v>
      </c>
      <c r="K74" s="1">
        <v>1455</v>
      </c>
      <c r="L74" s="1">
        <f t="shared" si="4"/>
        <v>15</v>
      </c>
      <c r="M74" s="1">
        <f t="shared" si="5"/>
        <v>7420.5</v>
      </c>
      <c r="N74" s="1">
        <f t="shared" si="6"/>
        <v>1484.1000000000001</v>
      </c>
      <c r="O74" s="1" t="s">
        <v>24</v>
      </c>
      <c r="P74" s="1" t="str">
        <f t="shared" ca="1" si="7"/>
        <v>Delivered</v>
      </c>
    </row>
    <row r="75" spans="1:16" x14ac:dyDescent="0.3">
      <c r="A75" s="1" t="s">
        <v>271</v>
      </c>
      <c r="B75" s="1" t="s">
        <v>272</v>
      </c>
      <c r="C75" s="1" t="s">
        <v>273</v>
      </c>
      <c r="D75" s="1" t="s">
        <v>29</v>
      </c>
      <c r="E75" s="1">
        <v>47</v>
      </c>
      <c r="F75" s="1" t="s">
        <v>76</v>
      </c>
      <c r="G75" s="1" t="s">
        <v>77</v>
      </c>
      <c r="H75" s="1" t="s">
        <v>22</v>
      </c>
      <c r="I75" s="1" t="s">
        <v>23</v>
      </c>
      <c r="J75" s="1">
        <v>6</v>
      </c>
      <c r="K75" s="1">
        <v>5400</v>
      </c>
      <c r="L75" s="1">
        <f t="shared" si="4"/>
        <v>15</v>
      </c>
      <c r="M75" s="1">
        <f t="shared" si="5"/>
        <v>27540</v>
      </c>
      <c r="N75" s="1">
        <f t="shared" si="6"/>
        <v>5508</v>
      </c>
      <c r="O75" s="1" t="s">
        <v>24</v>
      </c>
      <c r="P75" s="1" t="str">
        <f t="shared" ca="1" si="7"/>
        <v>Pending</v>
      </c>
    </row>
    <row r="76" spans="1:16" x14ac:dyDescent="0.3">
      <c r="A76" s="1" t="s">
        <v>274</v>
      </c>
      <c r="B76" s="1" t="s">
        <v>275</v>
      </c>
      <c r="C76" s="1" t="s">
        <v>276</v>
      </c>
      <c r="D76" s="1" t="s">
        <v>19</v>
      </c>
      <c r="E76" s="1">
        <v>59</v>
      </c>
      <c r="F76" s="1" t="s">
        <v>52</v>
      </c>
      <c r="G76" s="1" t="s">
        <v>53</v>
      </c>
      <c r="H76" s="1" t="s">
        <v>32</v>
      </c>
      <c r="I76" s="1" t="s">
        <v>39</v>
      </c>
      <c r="J76" s="1">
        <v>2</v>
      </c>
      <c r="K76" s="1">
        <v>2190</v>
      </c>
      <c r="L76" s="1">
        <f t="shared" si="4"/>
        <v>5</v>
      </c>
      <c r="M76" s="1">
        <f t="shared" si="5"/>
        <v>4161</v>
      </c>
      <c r="N76" s="1">
        <f t="shared" si="6"/>
        <v>832.2</v>
      </c>
      <c r="O76" s="1" t="s">
        <v>34</v>
      </c>
      <c r="P76" s="1" t="str">
        <f t="shared" ca="1" si="7"/>
        <v>Cancelled</v>
      </c>
    </row>
    <row r="77" spans="1:16" x14ac:dyDescent="0.3">
      <c r="A77" s="1" t="s">
        <v>277</v>
      </c>
      <c r="B77" s="1" t="s">
        <v>278</v>
      </c>
      <c r="C77" s="1" t="s">
        <v>279</v>
      </c>
      <c r="D77" s="1" t="s">
        <v>19</v>
      </c>
      <c r="E77" s="1">
        <v>48</v>
      </c>
      <c r="F77" s="1" t="s">
        <v>20</v>
      </c>
      <c r="G77" s="1" t="s">
        <v>21</v>
      </c>
      <c r="H77" s="1" t="s">
        <v>45</v>
      </c>
      <c r="I77" s="1" t="s">
        <v>72</v>
      </c>
      <c r="J77" s="1">
        <v>4</v>
      </c>
      <c r="K77" s="1">
        <v>980</v>
      </c>
      <c r="L77" s="1">
        <f t="shared" si="4"/>
        <v>10</v>
      </c>
      <c r="M77" s="1">
        <f t="shared" si="5"/>
        <v>3528</v>
      </c>
      <c r="N77" s="1">
        <f t="shared" si="6"/>
        <v>705.6</v>
      </c>
      <c r="O77" s="1" t="s">
        <v>34</v>
      </c>
      <c r="P77" s="1" t="str">
        <f t="shared" ca="1" si="7"/>
        <v>Cancelled</v>
      </c>
    </row>
    <row r="78" spans="1:16" x14ac:dyDescent="0.3">
      <c r="A78" s="1" t="s">
        <v>280</v>
      </c>
      <c r="B78" s="1" t="s">
        <v>281</v>
      </c>
      <c r="C78" s="1" t="s">
        <v>282</v>
      </c>
      <c r="D78" s="1" t="s">
        <v>29</v>
      </c>
      <c r="E78" s="1">
        <v>47</v>
      </c>
      <c r="F78" s="1" t="s">
        <v>108</v>
      </c>
      <c r="G78" s="1" t="s">
        <v>108</v>
      </c>
      <c r="H78" s="1" t="s">
        <v>22</v>
      </c>
      <c r="I78" s="1" t="s">
        <v>54</v>
      </c>
      <c r="J78" s="1">
        <v>1</v>
      </c>
      <c r="K78" s="1">
        <v>360</v>
      </c>
      <c r="L78" s="1">
        <f t="shared" si="4"/>
        <v>5</v>
      </c>
      <c r="M78" s="1">
        <f t="shared" si="5"/>
        <v>342</v>
      </c>
      <c r="N78" s="1">
        <f t="shared" si="6"/>
        <v>68.400000000000006</v>
      </c>
      <c r="O78" s="1" t="s">
        <v>34</v>
      </c>
      <c r="P78" s="1" t="str">
        <f t="shared" ca="1" si="7"/>
        <v>Pending</v>
      </c>
    </row>
    <row r="79" spans="1:16" x14ac:dyDescent="0.3">
      <c r="A79" s="1" t="s">
        <v>283</v>
      </c>
      <c r="B79" s="1" t="s">
        <v>284</v>
      </c>
      <c r="C79" s="1" t="s">
        <v>285</v>
      </c>
      <c r="D79" s="1" t="s">
        <v>29</v>
      </c>
      <c r="E79" s="1">
        <v>55</v>
      </c>
      <c r="F79" s="1" t="s">
        <v>147</v>
      </c>
      <c r="G79" s="1" t="s">
        <v>44</v>
      </c>
      <c r="H79" s="1" t="s">
        <v>22</v>
      </c>
      <c r="I79" s="1" t="s">
        <v>85</v>
      </c>
      <c r="J79" s="1">
        <v>8</v>
      </c>
      <c r="K79" s="1">
        <v>4155</v>
      </c>
      <c r="L79" s="1">
        <f t="shared" si="4"/>
        <v>20</v>
      </c>
      <c r="M79" s="1">
        <f t="shared" si="5"/>
        <v>26592</v>
      </c>
      <c r="N79" s="1">
        <f t="shared" si="6"/>
        <v>5318.4000000000005</v>
      </c>
      <c r="O79" s="1" t="s">
        <v>98</v>
      </c>
      <c r="P79" s="1" t="str">
        <f t="shared" ca="1" si="7"/>
        <v>Returned</v>
      </c>
    </row>
    <row r="80" spans="1:16" x14ac:dyDescent="0.3">
      <c r="A80" s="1" t="s">
        <v>286</v>
      </c>
      <c r="B80" s="1" t="s">
        <v>287</v>
      </c>
      <c r="C80" s="1" t="s">
        <v>288</v>
      </c>
      <c r="D80" s="1" t="s">
        <v>29</v>
      </c>
      <c r="E80" s="1">
        <v>54</v>
      </c>
      <c r="F80" s="1" t="s">
        <v>84</v>
      </c>
      <c r="G80" s="1" t="s">
        <v>31</v>
      </c>
      <c r="H80" s="1" t="s">
        <v>45</v>
      </c>
      <c r="I80" s="1" t="s">
        <v>72</v>
      </c>
      <c r="J80" s="1">
        <v>6</v>
      </c>
      <c r="K80" s="1">
        <v>2800</v>
      </c>
      <c r="L80" s="1">
        <f t="shared" si="4"/>
        <v>15</v>
      </c>
      <c r="M80" s="1">
        <f t="shared" si="5"/>
        <v>14280</v>
      </c>
      <c r="N80" s="1">
        <f t="shared" si="6"/>
        <v>2856</v>
      </c>
      <c r="O80" s="1" t="s">
        <v>47</v>
      </c>
      <c r="P80" s="1" t="str">
        <f t="shared" ca="1" si="7"/>
        <v>Cancelled</v>
      </c>
    </row>
    <row r="81" spans="1:16" x14ac:dyDescent="0.3">
      <c r="A81" s="1" t="s">
        <v>289</v>
      </c>
      <c r="B81" s="1" t="s">
        <v>290</v>
      </c>
      <c r="C81" s="1" t="s">
        <v>58</v>
      </c>
      <c r="D81" s="1" t="s">
        <v>19</v>
      </c>
      <c r="E81" s="1">
        <v>33</v>
      </c>
      <c r="F81" s="1" t="s">
        <v>76</v>
      </c>
      <c r="G81" s="1" t="s">
        <v>77</v>
      </c>
      <c r="H81" s="1" t="s">
        <v>59</v>
      </c>
      <c r="I81" s="1" t="s">
        <v>89</v>
      </c>
      <c r="J81" s="1">
        <v>4</v>
      </c>
      <c r="K81" s="1">
        <v>740</v>
      </c>
      <c r="L81" s="1">
        <f t="shared" si="4"/>
        <v>10</v>
      </c>
      <c r="M81" s="1">
        <f t="shared" si="5"/>
        <v>2664</v>
      </c>
      <c r="N81" s="1">
        <f t="shared" si="6"/>
        <v>532.80000000000007</v>
      </c>
      <c r="O81" s="1" t="s">
        <v>47</v>
      </c>
      <c r="P81" s="1" t="str">
        <f t="shared" ca="1" si="7"/>
        <v>Cancelled</v>
      </c>
    </row>
    <row r="82" spans="1:16" x14ac:dyDescent="0.3">
      <c r="A82" s="1" t="s">
        <v>291</v>
      </c>
      <c r="B82" s="1" t="s">
        <v>292</v>
      </c>
      <c r="C82" s="1" t="s">
        <v>293</v>
      </c>
      <c r="D82" s="1" t="s">
        <v>19</v>
      </c>
      <c r="E82" s="1">
        <v>19</v>
      </c>
      <c r="F82" s="1" t="s">
        <v>30</v>
      </c>
      <c r="G82" s="1" t="s">
        <v>31</v>
      </c>
      <c r="H82" s="1" t="s">
        <v>59</v>
      </c>
      <c r="I82" s="1" t="s">
        <v>294</v>
      </c>
      <c r="J82" s="1">
        <v>7</v>
      </c>
      <c r="K82" s="1">
        <v>5100</v>
      </c>
      <c r="L82" s="1">
        <f t="shared" si="4"/>
        <v>15</v>
      </c>
      <c r="M82" s="1">
        <f t="shared" si="5"/>
        <v>30345</v>
      </c>
      <c r="N82" s="1">
        <f t="shared" si="6"/>
        <v>6069</v>
      </c>
      <c r="O82" s="1" t="s">
        <v>47</v>
      </c>
      <c r="P82" s="1" t="str">
        <f t="shared" ca="1" si="7"/>
        <v>Delivered</v>
      </c>
    </row>
    <row r="83" spans="1:16" x14ac:dyDescent="0.3">
      <c r="A83" s="1" t="s">
        <v>295</v>
      </c>
      <c r="B83" s="1" t="s">
        <v>296</v>
      </c>
      <c r="C83" s="1" t="s">
        <v>297</v>
      </c>
      <c r="D83" s="1" t="s">
        <v>29</v>
      </c>
      <c r="E83" s="1">
        <v>46</v>
      </c>
      <c r="F83" s="1" t="s">
        <v>30</v>
      </c>
      <c r="G83" s="1" t="s">
        <v>31</v>
      </c>
      <c r="H83" s="1" t="s">
        <v>45</v>
      </c>
      <c r="I83" s="1" t="s">
        <v>196</v>
      </c>
      <c r="J83" s="1">
        <v>8</v>
      </c>
      <c r="K83" s="1">
        <v>1760</v>
      </c>
      <c r="L83" s="1">
        <f t="shared" si="4"/>
        <v>20</v>
      </c>
      <c r="M83" s="1">
        <f t="shared" si="5"/>
        <v>11264</v>
      </c>
      <c r="N83" s="1">
        <f t="shared" si="6"/>
        <v>2252.8000000000002</v>
      </c>
      <c r="O83" s="1" t="s">
        <v>98</v>
      </c>
      <c r="P83" s="1" t="str">
        <f t="shared" ca="1" si="7"/>
        <v>Delivered</v>
      </c>
    </row>
    <row r="84" spans="1:16" x14ac:dyDescent="0.3">
      <c r="A84" s="1" t="s">
        <v>298</v>
      </c>
      <c r="B84" s="1" t="s">
        <v>299</v>
      </c>
      <c r="C84" s="1" t="s">
        <v>300</v>
      </c>
      <c r="D84" s="1" t="s">
        <v>29</v>
      </c>
      <c r="E84" s="1">
        <v>31</v>
      </c>
      <c r="F84" s="1" t="s">
        <v>125</v>
      </c>
      <c r="G84" s="1" t="s">
        <v>126</v>
      </c>
      <c r="H84" s="1" t="s">
        <v>45</v>
      </c>
      <c r="I84" s="1" t="s">
        <v>196</v>
      </c>
      <c r="J84" s="1">
        <v>1</v>
      </c>
      <c r="K84" s="1">
        <v>2950</v>
      </c>
      <c r="L84" s="1">
        <f t="shared" si="4"/>
        <v>5</v>
      </c>
      <c r="M84" s="1">
        <f t="shared" si="5"/>
        <v>2802.5</v>
      </c>
      <c r="N84" s="1">
        <f t="shared" si="6"/>
        <v>560.5</v>
      </c>
      <c r="O84" s="1" t="s">
        <v>98</v>
      </c>
      <c r="P84" s="1" t="str">
        <f t="shared" ca="1" si="7"/>
        <v>Cancelled</v>
      </c>
    </row>
    <row r="85" spans="1:16" x14ac:dyDescent="0.3">
      <c r="A85" s="1" t="s">
        <v>301</v>
      </c>
      <c r="B85" s="1" t="s">
        <v>302</v>
      </c>
      <c r="C85" s="1" t="s">
        <v>139</v>
      </c>
      <c r="D85" s="1" t="s">
        <v>19</v>
      </c>
      <c r="E85" s="1">
        <v>18</v>
      </c>
      <c r="F85" s="1" t="s">
        <v>76</v>
      </c>
      <c r="G85" s="1" t="s">
        <v>77</v>
      </c>
      <c r="H85" s="1" t="s">
        <v>22</v>
      </c>
      <c r="I85" s="1" t="s">
        <v>64</v>
      </c>
      <c r="J85" s="1">
        <v>7</v>
      </c>
      <c r="K85" s="1">
        <v>1205</v>
      </c>
      <c r="L85" s="1">
        <f t="shared" si="4"/>
        <v>15</v>
      </c>
      <c r="M85" s="1">
        <f t="shared" si="5"/>
        <v>7169.75</v>
      </c>
      <c r="N85" s="1">
        <f t="shared" si="6"/>
        <v>1433.95</v>
      </c>
      <c r="O85" s="1" t="s">
        <v>98</v>
      </c>
      <c r="P85" s="1" t="str">
        <f t="shared" ca="1" si="7"/>
        <v>Delivered</v>
      </c>
    </row>
    <row r="86" spans="1:16" x14ac:dyDescent="0.3">
      <c r="A86" s="1" t="s">
        <v>303</v>
      </c>
      <c r="B86" s="1" t="s">
        <v>304</v>
      </c>
      <c r="C86" s="1" t="s">
        <v>157</v>
      </c>
      <c r="D86" s="1" t="s">
        <v>29</v>
      </c>
      <c r="E86" s="1">
        <v>59</v>
      </c>
      <c r="F86" s="1" t="s">
        <v>108</v>
      </c>
      <c r="G86" s="1" t="s">
        <v>108</v>
      </c>
      <c r="H86" s="1" t="s">
        <v>32</v>
      </c>
      <c r="I86" s="1" t="s">
        <v>104</v>
      </c>
      <c r="J86" s="1">
        <v>1</v>
      </c>
      <c r="K86" s="1">
        <v>3995</v>
      </c>
      <c r="L86" s="1">
        <f t="shared" si="4"/>
        <v>5</v>
      </c>
      <c r="M86" s="1">
        <f t="shared" si="5"/>
        <v>3795.25</v>
      </c>
      <c r="N86" s="1">
        <f t="shared" si="6"/>
        <v>759.05000000000007</v>
      </c>
      <c r="O86" s="1" t="s">
        <v>34</v>
      </c>
      <c r="P86" s="1" t="str">
        <f t="shared" ca="1" si="7"/>
        <v>Cancelled</v>
      </c>
    </row>
    <row r="87" spans="1:16" x14ac:dyDescent="0.3">
      <c r="A87" s="1" t="s">
        <v>305</v>
      </c>
      <c r="B87" s="1" t="s">
        <v>306</v>
      </c>
      <c r="C87" s="1" t="s">
        <v>142</v>
      </c>
      <c r="D87" s="1" t="s">
        <v>29</v>
      </c>
      <c r="E87" s="1">
        <v>43</v>
      </c>
      <c r="F87" s="1" t="s">
        <v>30</v>
      </c>
      <c r="G87" s="1" t="s">
        <v>31</v>
      </c>
      <c r="H87" s="1" t="s">
        <v>59</v>
      </c>
      <c r="I87" s="1" t="s">
        <v>294</v>
      </c>
      <c r="J87" s="1">
        <v>1</v>
      </c>
      <c r="K87" s="1">
        <v>560</v>
      </c>
      <c r="L87" s="1">
        <f t="shared" si="4"/>
        <v>5</v>
      </c>
      <c r="M87" s="1">
        <f t="shared" si="5"/>
        <v>532</v>
      </c>
      <c r="N87" s="1">
        <f t="shared" si="6"/>
        <v>106.4</v>
      </c>
      <c r="O87" s="1" t="s">
        <v>47</v>
      </c>
      <c r="P87" s="1" t="str">
        <f t="shared" ca="1" si="7"/>
        <v>Returned</v>
      </c>
    </row>
    <row r="88" spans="1:16" x14ac:dyDescent="0.3">
      <c r="A88" s="1" t="s">
        <v>307</v>
      </c>
      <c r="B88" s="1" t="s">
        <v>308</v>
      </c>
      <c r="C88" s="1" t="s">
        <v>276</v>
      </c>
      <c r="D88" s="1" t="s">
        <v>19</v>
      </c>
      <c r="E88" s="1">
        <v>27</v>
      </c>
      <c r="F88" s="1" t="s">
        <v>108</v>
      </c>
      <c r="G88" s="1" t="s">
        <v>108</v>
      </c>
      <c r="H88" s="1" t="s">
        <v>45</v>
      </c>
      <c r="I88" s="1" t="s">
        <v>196</v>
      </c>
      <c r="J88" s="1">
        <v>7</v>
      </c>
      <c r="K88" s="1">
        <v>4850</v>
      </c>
      <c r="L88" s="1">
        <f t="shared" si="4"/>
        <v>15</v>
      </c>
      <c r="M88" s="1">
        <f t="shared" si="5"/>
        <v>28857.5</v>
      </c>
      <c r="N88" s="1">
        <f t="shared" si="6"/>
        <v>5771.5</v>
      </c>
      <c r="O88" s="1" t="s">
        <v>24</v>
      </c>
      <c r="P88" s="1" t="str">
        <f t="shared" ca="1" si="7"/>
        <v>Returned</v>
      </c>
    </row>
    <row r="89" spans="1:16" x14ac:dyDescent="0.3">
      <c r="A89" s="1" t="s">
        <v>309</v>
      </c>
      <c r="B89" s="1" t="s">
        <v>310</v>
      </c>
      <c r="C89" s="1" t="s">
        <v>213</v>
      </c>
      <c r="D89" s="1" t="s">
        <v>29</v>
      </c>
      <c r="E89" s="1">
        <v>30</v>
      </c>
      <c r="F89" s="1" t="s">
        <v>147</v>
      </c>
      <c r="G89" s="1" t="s">
        <v>44</v>
      </c>
      <c r="H89" s="1" t="s">
        <v>22</v>
      </c>
      <c r="I89" s="1" t="s">
        <v>64</v>
      </c>
      <c r="J89" s="1">
        <v>6</v>
      </c>
      <c r="K89" s="1">
        <v>2600</v>
      </c>
      <c r="L89" s="1">
        <f t="shared" si="4"/>
        <v>15</v>
      </c>
      <c r="M89" s="1">
        <f t="shared" si="5"/>
        <v>13260</v>
      </c>
      <c r="N89" s="1">
        <f t="shared" si="6"/>
        <v>2652</v>
      </c>
      <c r="O89" s="1" t="s">
        <v>98</v>
      </c>
      <c r="P89" s="1" t="str">
        <f t="shared" ca="1" si="7"/>
        <v>Cancelled</v>
      </c>
    </row>
    <row r="90" spans="1:16" x14ac:dyDescent="0.3">
      <c r="A90" s="1" t="s">
        <v>311</v>
      </c>
      <c r="B90" s="1" t="s">
        <v>312</v>
      </c>
      <c r="C90" s="1" t="s">
        <v>313</v>
      </c>
      <c r="D90" s="1" t="s">
        <v>29</v>
      </c>
      <c r="E90" s="1">
        <v>29</v>
      </c>
      <c r="F90" s="1" t="s">
        <v>147</v>
      </c>
      <c r="G90" s="1" t="s">
        <v>44</v>
      </c>
      <c r="H90" s="1" t="s">
        <v>32</v>
      </c>
      <c r="I90" s="1" t="s">
        <v>104</v>
      </c>
      <c r="J90" s="1">
        <v>1</v>
      </c>
      <c r="K90" s="1">
        <v>1320</v>
      </c>
      <c r="L90" s="1">
        <f t="shared" si="4"/>
        <v>5</v>
      </c>
      <c r="M90" s="1">
        <f t="shared" si="5"/>
        <v>1254</v>
      </c>
      <c r="N90" s="1">
        <f t="shared" si="6"/>
        <v>250.8</v>
      </c>
      <c r="O90" s="1" t="s">
        <v>34</v>
      </c>
      <c r="P90" s="1" t="str">
        <f t="shared" ca="1" si="7"/>
        <v>Cancelled</v>
      </c>
    </row>
    <row r="91" spans="1:16" x14ac:dyDescent="0.3">
      <c r="A91" s="1" t="s">
        <v>314</v>
      </c>
      <c r="B91" s="1" t="s">
        <v>315</v>
      </c>
      <c r="C91" s="1" t="s">
        <v>316</v>
      </c>
      <c r="D91" s="1" t="s">
        <v>19</v>
      </c>
      <c r="E91" s="1">
        <v>26</v>
      </c>
      <c r="F91" s="1" t="s">
        <v>108</v>
      </c>
      <c r="G91" s="1" t="s">
        <v>108</v>
      </c>
      <c r="H91" s="1" t="s">
        <v>45</v>
      </c>
      <c r="I91" s="1" t="s">
        <v>72</v>
      </c>
      <c r="J91" s="1">
        <v>1</v>
      </c>
      <c r="K91" s="1">
        <v>7150</v>
      </c>
      <c r="L91" s="1">
        <f t="shared" si="4"/>
        <v>5</v>
      </c>
      <c r="M91" s="1">
        <f t="shared" si="5"/>
        <v>6792.5</v>
      </c>
      <c r="N91" s="1">
        <f t="shared" si="6"/>
        <v>1358.5</v>
      </c>
      <c r="O91" s="1" t="s">
        <v>98</v>
      </c>
      <c r="P91" s="1" t="str">
        <f t="shared" ca="1" si="7"/>
        <v>Cancelled</v>
      </c>
    </row>
    <row r="92" spans="1:16" x14ac:dyDescent="0.3">
      <c r="A92" s="1" t="s">
        <v>317</v>
      </c>
      <c r="B92" s="1" t="s">
        <v>318</v>
      </c>
      <c r="C92" s="1" t="s">
        <v>319</v>
      </c>
      <c r="D92" s="1" t="s">
        <v>19</v>
      </c>
      <c r="E92" s="1">
        <v>56</v>
      </c>
      <c r="F92" s="1" t="s">
        <v>43</v>
      </c>
      <c r="G92" s="1" t="s">
        <v>44</v>
      </c>
      <c r="H92" s="1" t="s">
        <v>32</v>
      </c>
      <c r="I92" s="1" t="s">
        <v>39</v>
      </c>
      <c r="J92" s="1">
        <v>7</v>
      </c>
      <c r="K92" s="1">
        <v>1850</v>
      </c>
      <c r="L92" s="1">
        <f t="shared" si="4"/>
        <v>15</v>
      </c>
      <c r="M92" s="1">
        <f t="shared" si="5"/>
        <v>11007.5</v>
      </c>
      <c r="N92" s="1">
        <f t="shared" si="6"/>
        <v>2201.5</v>
      </c>
      <c r="O92" s="1" t="s">
        <v>98</v>
      </c>
      <c r="P92" s="1" t="str">
        <f t="shared" ca="1" si="7"/>
        <v>Delivered</v>
      </c>
    </row>
    <row r="93" spans="1:16" x14ac:dyDescent="0.3">
      <c r="A93" s="1" t="s">
        <v>320</v>
      </c>
      <c r="B93" s="1" t="s">
        <v>321</v>
      </c>
      <c r="C93" s="1" t="s">
        <v>114</v>
      </c>
      <c r="D93" s="1" t="s">
        <v>19</v>
      </c>
      <c r="E93" s="1">
        <v>24</v>
      </c>
      <c r="F93" s="1" t="s">
        <v>84</v>
      </c>
      <c r="G93" s="1" t="s">
        <v>31</v>
      </c>
      <c r="H93" s="1" t="s">
        <v>45</v>
      </c>
      <c r="I93" s="1" t="s">
        <v>72</v>
      </c>
      <c r="J93" s="1">
        <v>4</v>
      </c>
      <c r="K93" s="1">
        <v>3755</v>
      </c>
      <c r="L93" s="1">
        <f t="shared" si="4"/>
        <v>10</v>
      </c>
      <c r="M93" s="1">
        <f t="shared" si="5"/>
        <v>13518</v>
      </c>
      <c r="N93" s="1">
        <f t="shared" si="6"/>
        <v>2703.6000000000004</v>
      </c>
      <c r="O93" s="1" t="s">
        <v>98</v>
      </c>
      <c r="P93" s="1" t="str">
        <f t="shared" ca="1" si="7"/>
        <v>Pending</v>
      </c>
    </row>
    <row r="94" spans="1:16" x14ac:dyDescent="0.3">
      <c r="A94" s="1" t="s">
        <v>322</v>
      </c>
      <c r="B94" s="1" t="s">
        <v>323</v>
      </c>
      <c r="C94" s="1" t="s">
        <v>88</v>
      </c>
      <c r="D94" s="1" t="s">
        <v>19</v>
      </c>
      <c r="E94" s="1">
        <v>28</v>
      </c>
      <c r="F94" s="1" t="s">
        <v>30</v>
      </c>
      <c r="G94" s="1" t="s">
        <v>31</v>
      </c>
      <c r="H94" s="1" t="s">
        <v>59</v>
      </c>
      <c r="I94" s="1" t="s">
        <v>89</v>
      </c>
      <c r="J94" s="1">
        <v>7</v>
      </c>
      <c r="K94" s="1">
        <v>990</v>
      </c>
      <c r="L94" s="1">
        <f t="shared" si="4"/>
        <v>15</v>
      </c>
      <c r="M94" s="1">
        <f t="shared" si="5"/>
        <v>5890.5</v>
      </c>
      <c r="N94" s="1">
        <f t="shared" si="6"/>
        <v>1178.1000000000001</v>
      </c>
      <c r="O94" s="1" t="s">
        <v>24</v>
      </c>
      <c r="P94" s="1" t="str">
        <f t="shared" ca="1" si="7"/>
        <v>Delivered</v>
      </c>
    </row>
    <row r="95" spans="1:16" x14ac:dyDescent="0.3">
      <c r="A95" s="1" t="s">
        <v>324</v>
      </c>
      <c r="B95" s="1" t="s">
        <v>325</v>
      </c>
      <c r="C95" s="1" t="s">
        <v>326</v>
      </c>
      <c r="D95" s="1" t="s">
        <v>29</v>
      </c>
      <c r="E95" s="1">
        <v>25</v>
      </c>
      <c r="F95" s="1" t="s">
        <v>43</v>
      </c>
      <c r="G95" s="1" t="s">
        <v>44</v>
      </c>
      <c r="H95" s="1" t="s">
        <v>59</v>
      </c>
      <c r="I95" s="1" t="s">
        <v>294</v>
      </c>
      <c r="J95" s="1">
        <v>3</v>
      </c>
      <c r="K95" s="1">
        <v>455</v>
      </c>
      <c r="L95" s="1">
        <f t="shared" si="4"/>
        <v>5</v>
      </c>
      <c r="M95" s="1">
        <f t="shared" si="5"/>
        <v>1296.75</v>
      </c>
      <c r="N95" s="1">
        <f t="shared" si="6"/>
        <v>259.35000000000002</v>
      </c>
      <c r="O95" s="1" t="s">
        <v>34</v>
      </c>
      <c r="P95" s="1" t="str">
        <f t="shared" ca="1" si="7"/>
        <v>Cancelled</v>
      </c>
    </row>
    <row r="96" spans="1:16" x14ac:dyDescent="0.3">
      <c r="A96" s="1" t="s">
        <v>327</v>
      </c>
      <c r="B96" s="1" t="s">
        <v>328</v>
      </c>
      <c r="C96" s="1" t="s">
        <v>329</v>
      </c>
      <c r="D96" s="1" t="s">
        <v>29</v>
      </c>
      <c r="E96" s="1">
        <v>53</v>
      </c>
      <c r="F96" s="1" t="s">
        <v>147</v>
      </c>
      <c r="G96" s="1" t="s">
        <v>44</v>
      </c>
      <c r="H96" s="1" t="s">
        <v>59</v>
      </c>
      <c r="I96" s="1" t="s">
        <v>60</v>
      </c>
      <c r="J96" s="1">
        <v>8</v>
      </c>
      <c r="K96" s="1">
        <v>625</v>
      </c>
      <c r="L96" s="1">
        <f t="shared" si="4"/>
        <v>20</v>
      </c>
      <c r="M96" s="1">
        <f t="shared" si="5"/>
        <v>4000</v>
      </c>
      <c r="N96" s="1">
        <f t="shared" si="6"/>
        <v>800</v>
      </c>
      <c r="O96" s="1" t="s">
        <v>24</v>
      </c>
      <c r="P96" s="1" t="str">
        <f t="shared" ca="1" si="7"/>
        <v>Cancelled</v>
      </c>
    </row>
    <row r="97" spans="1:16" x14ac:dyDescent="0.3">
      <c r="A97" s="1" t="s">
        <v>330</v>
      </c>
      <c r="B97" s="1" t="s">
        <v>331</v>
      </c>
      <c r="C97" s="1" t="s">
        <v>332</v>
      </c>
      <c r="D97" s="1" t="s">
        <v>19</v>
      </c>
      <c r="E97" s="1">
        <v>46</v>
      </c>
      <c r="F97" s="1" t="s">
        <v>52</v>
      </c>
      <c r="G97" s="1" t="s">
        <v>53</v>
      </c>
      <c r="H97" s="1" t="s">
        <v>32</v>
      </c>
      <c r="I97" s="1" t="s">
        <v>151</v>
      </c>
      <c r="J97" s="1">
        <v>5</v>
      </c>
      <c r="K97" s="1">
        <v>5350</v>
      </c>
      <c r="L97" s="1">
        <f t="shared" si="4"/>
        <v>10</v>
      </c>
      <c r="M97" s="1">
        <f t="shared" si="5"/>
        <v>24075</v>
      </c>
      <c r="N97" s="1">
        <f t="shared" si="6"/>
        <v>4815</v>
      </c>
      <c r="O97" s="1" t="s">
        <v>98</v>
      </c>
      <c r="P97" s="1" t="str">
        <f t="shared" ca="1" si="7"/>
        <v>Delivered</v>
      </c>
    </row>
    <row r="98" spans="1:16" x14ac:dyDescent="0.3">
      <c r="A98" s="1" t="s">
        <v>333</v>
      </c>
      <c r="B98" s="1" t="s">
        <v>334</v>
      </c>
      <c r="C98" s="1" t="s">
        <v>256</v>
      </c>
      <c r="D98" s="1" t="s">
        <v>19</v>
      </c>
      <c r="E98" s="1">
        <v>37</v>
      </c>
      <c r="F98" s="1" t="s">
        <v>52</v>
      </c>
      <c r="G98" s="1" t="s">
        <v>53</v>
      </c>
      <c r="H98" s="1" t="s">
        <v>32</v>
      </c>
      <c r="I98" s="1" t="s">
        <v>151</v>
      </c>
      <c r="J98" s="1">
        <v>7</v>
      </c>
      <c r="K98" s="1">
        <v>2475</v>
      </c>
      <c r="L98" s="1">
        <f t="shared" si="4"/>
        <v>15</v>
      </c>
      <c r="M98" s="1">
        <f t="shared" si="5"/>
        <v>14726.25</v>
      </c>
      <c r="N98" s="1">
        <f t="shared" si="6"/>
        <v>2945.25</v>
      </c>
      <c r="O98" s="1" t="s">
        <v>47</v>
      </c>
      <c r="P98" s="1" t="str">
        <f t="shared" ca="1" si="7"/>
        <v>Delivered</v>
      </c>
    </row>
    <row r="99" spans="1:16" x14ac:dyDescent="0.3">
      <c r="A99" s="1" t="s">
        <v>335</v>
      </c>
      <c r="B99" s="1" t="s">
        <v>336</v>
      </c>
      <c r="C99" s="1" t="s">
        <v>337</v>
      </c>
      <c r="D99" s="1" t="s">
        <v>19</v>
      </c>
      <c r="E99" s="1">
        <v>23</v>
      </c>
      <c r="F99" s="1" t="s">
        <v>30</v>
      </c>
      <c r="G99" s="1" t="s">
        <v>31</v>
      </c>
      <c r="H99" s="1" t="s">
        <v>45</v>
      </c>
      <c r="I99" s="1" t="s">
        <v>196</v>
      </c>
      <c r="J99" s="1">
        <v>6</v>
      </c>
      <c r="K99" s="1">
        <v>1680</v>
      </c>
      <c r="L99" s="1">
        <f t="shared" si="4"/>
        <v>15</v>
      </c>
      <c r="M99" s="1">
        <f t="shared" si="5"/>
        <v>8568</v>
      </c>
      <c r="N99" s="1">
        <f t="shared" si="6"/>
        <v>1713.6000000000001</v>
      </c>
      <c r="O99" s="1" t="s">
        <v>98</v>
      </c>
      <c r="P99" s="1" t="str">
        <f t="shared" ca="1" si="7"/>
        <v>Pending</v>
      </c>
    </row>
    <row r="100" spans="1:16" x14ac:dyDescent="0.3">
      <c r="A100" s="1" t="s">
        <v>338</v>
      </c>
      <c r="B100" s="1" t="s">
        <v>339</v>
      </c>
      <c r="C100" s="1" t="s">
        <v>139</v>
      </c>
      <c r="D100" s="1" t="s">
        <v>19</v>
      </c>
      <c r="E100" s="1">
        <v>20</v>
      </c>
      <c r="F100" s="1" t="s">
        <v>147</v>
      </c>
      <c r="G100" s="1" t="s">
        <v>44</v>
      </c>
      <c r="H100" s="1" t="s">
        <v>32</v>
      </c>
      <c r="I100" s="1" t="s">
        <v>151</v>
      </c>
      <c r="J100" s="1">
        <v>4</v>
      </c>
      <c r="K100" s="1">
        <v>4290</v>
      </c>
      <c r="L100" s="1">
        <f t="shared" si="4"/>
        <v>10</v>
      </c>
      <c r="M100" s="1">
        <f t="shared" si="5"/>
        <v>15444</v>
      </c>
      <c r="N100" s="1">
        <f t="shared" si="6"/>
        <v>3088.8</v>
      </c>
      <c r="O100" s="1" t="s">
        <v>47</v>
      </c>
      <c r="P100" s="1" t="str">
        <f t="shared" ca="1" si="7"/>
        <v>Pending</v>
      </c>
    </row>
    <row r="101" spans="1:16" x14ac:dyDescent="0.3">
      <c r="A101" s="1" t="s">
        <v>340</v>
      </c>
      <c r="B101" s="1" t="s">
        <v>341</v>
      </c>
      <c r="C101" s="1" t="s">
        <v>96</v>
      </c>
      <c r="D101" s="1" t="s">
        <v>19</v>
      </c>
      <c r="E101" s="1">
        <v>49</v>
      </c>
      <c r="F101" s="1" t="s">
        <v>20</v>
      </c>
      <c r="G101" s="1" t="s">
        <v>21</v>
      </c>
      <c r="H101" s="1" t="s">
        <v>32</v>
      </c>
      <c r="I101" s="1" t="s">
        <v>39</v>
      </c>
      <c r="J101" s="1">
        <v>5</v>
      </c>
      <c r="K101" s="1">
        <v>910</v>
      </c>
      <c r="L101" s="1">
        <f t="shared" si="4"/>
        <v>10</v>
      </c>
      <c r="M101" s="1">
        <f t="shared" si="5"/>
        <v>4095</v>
      </c>
      <c r="N101" s="1">
        <f t="shared" si="6"/>
        <v>819</v>
      </c>
      <c r="O101" s="1" t="s">
        <v>24</v>
      </c>
      <c r="P101" s="1" t="str">
        <f t="shared" ca="1" si="7"/>
        <v>Returned</v>
      </c>
    </row>
    <row r="102" spans="1:16" x14ac:dyDescent="0.3">
      <c r="G102" s="7" t="s">
        <v>349</v>
      </c>
      <c r="H102" s="7"/>
      <c r="I102" s="7"/>
      <c r="J102" s="6">
        <f>SUM(J2:J101)</f>
        <v>480</v>
      </c>
      <c r="K102" s="6">
        <f>SUM(K2:K101)</f>
        <v>270217</v>
      </c>
      <c r="L102" s="6">
        <f>SUM(L2:L101)</f>
        <v>1160</v>
      </c>
      <c r="M102" s="6">
        <f>SUM(M2:M101)</f>
        <v>1073068.55</v>
      </c>
      <c r="N102" s="8">
        <f>SUM(N2:N101)</f>
        <v>214613.71</v>
      </c>
      <c r="O102" s="8"/>
      <c r="P102" s="8"/>
    </row>
    <row r="119" spans="13:13" x14ac:dyDescent="0.3">
      <c r="M119">
        <v>767440</v>
      </c>
    </row>
    <row r="121" spans="13:13" x14ac:dyDescent="0.3">
      <c r="M121">
        <v>267831</v>
      </c>
    </row>
  </sheetData>
  <mergeCells count="2">
    <mergeCell ref="G102:I102"/>
    <mergeCell ref="N102:P10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3F00-A7A6-4A0F-919E-282C07263441}">
  <dimension ref="A7:B96"/>
  <sheetViews>
    <sheetView workbookViewId="0">
      <selection activeCell="B11" sqref="B11"/>
    </sheetView>
  </sheetViews>
  <sheetFormatPr defaultRowHeight="14.4" x14ac:dyDescent="0.3"/>
  <cols>
    <col min="1" max="1" width="12.5546875" bestFit="1" customWidth="1"/>
    <col min="2" max="2" width="15.33203125" customWidth="1"/>
    <col min="3" max="3" width="9.5546875" bestFit="1" customWidth="1"/>
    <col min="4" max="4" width="11.77734375" bestFit="1" customWidth="1"/>
    <col min="5" max="5" width="9.33203125" bestFit="1" customWidth="1"/>
    <col min="6" max="6" width="10.5546875" bestFit="1" customWidth="1"/>
    <col min="7" max="7" width="9.6640625" bestFit="1" customWidth="1"/>
    <col min="8" max="8" width="11.33203125" bestFit="1" customWidth="1"/>
    <col min="9" max="9" width="10.77734375" bestFit="1" customWidth="1"/>
  </cols>
  <sheetData>
    <row r="7" spans="1:2" x14ac:dyDescent="0.3">
      <c r="A7" s="3" t="s">
        <v>342</v>
      </c>
      <c r="B7" t="s">
        <v>344</v>
      </c>
    </row>
    <row r="8" spans="1:2" x14ac:dyDescent="0.3">
      <c r="A8" s="4" t="s">
        <v>32</v>
      </c>
      <c r="B8" s="9">
        <v>303814.90000000002</v>
      </c>
    </row>
    <row r="9" spans="1:2" x14ac:dyDescent="0.3">
      <c r="A9" s="4" t="s">
        <v>45</v>
      </c>
      <c r="B9" s="9">
        <v>324980.84999999998</v>
      </c>
    </row>
    <row r="10" spans="1:2" x14ac:dyDescent="0.3">
      <c r="A10" s="4" t="s">
        <v>22</v>
      </c>
      <c r="B10" s="9">
        <v>222708.55</v>
      </c>
    </row>
    <row r="11" spans="1:2" x14ac:dyDescent="0.3">
      <c r="A11" s="4" t="s">
        <v>59</v>
      </c>
      <c r="B11" s="9">
        <v>221564.25</v>
      </c>
    </row>
    <row r="12" spans="1:2" x14ac:dyDescent="0.3">
      <c r="A12" s="4" t="s">
        <v>343</v>
      </c>
      <c r="B12" s="9">
        <v>1073068.55</v>
      </c>
    </row>
    <row r="23" spans="1:2" x14ac:dyDescent="0.3">
      <c r="A23" s="3" t="s">
        <v>342</v>
      </c>
      <c r="B23" t="s">
        <v>345</v>
      </c>
    </row>
    <row r="24" spans="1:2" x14ac:dyDescent="0.3">
      <c r="A24" s="4" t="s">
        <v>108</v>
      </c>
      <c r="B24" s="9">
        <v>23017.5</v>
      </c>
    </row>
    <row r="25" spans="1:2" x14ac:dyDescent="0.3">
      <c r="A25" s="4" t="s">
        <v>31</v>
      </c>
      <c r="B25" s="9">
        <v>55711.919999999991</v>
      </c>
    </row>
    <row r="26" spans="1:2" x14ac:dyDescent="0.3">
      <c r="A26" s="4" t="s">
        <v>44</v>
      </c>
      <c r="B26" s="9">
        <v>42445.250000000007</v>
      </c>
    </row>
    <row r="27" spans="1:2" x14ac:dyDescent="0.3">
      <c r="A27" s="4" t="s">
        <v>21</v>
      </c>
      <c r="B27" s="9">
        <v>25544.429999999997</v>
      </c>
    </row>
    <row r="28" spans="1:2" x14ac:dyDescent="0.3">
      <c r="A28" s="4" t="s">
        <v>77</v>
      </c>
      <c r="B28" s="9">
        <v>19063.7</v>
      </c>
    </row>
    <row r="29" spans="1:2" x14ac:dyDescent="0.3">
      <c r="A29" s="4" t="s">
        <v>53</v>
      </c>
      <c r="B29" s="9">
        <v>36288.010000000009</v>
      </c>
    </row>
    <row r="30" spans="1:2" x14ac:dyDescent="0.3">
      <c r="A30" s="4" t="s">
        <v>126</v>
      </c>
      <c r="B30" s="9">
        <v>12542.9</v>
      </c>
    </row>
    <row r="31" spans="1:2" x14ac:dyDescent="0.3">
      <c r="A31" s="4" t="s">
        <v>343</v>
      </c>
      <c r="B31" s="9">
        <v>214613.71</v>
      </c>
    </row>
    <row r="39" spans="1:2" x14ac:dyDescent="0.3">
      <c r="A39" s="3" t="s">
        <v>342</v>
      </c>
      <c r="B39" t="s">
        <v>346</v>
      </c>
    </row>
    <row r="40" spans="1:2" x14ac:dyDescent="0.3">
      <c r="A40" s="4" t="s">
        <v>34</v>
      </c>
      <c r="B40" s="9">
        <v>21</v>
      </c>
    </row>
    <row r="41" spans="1:2" x14ac:dyDescent="0.3">
      <c r="A41" s="4" t="s">
        <v>98</v>
      </c>
      <c r="B41" s="9">
        <v>28</v>
      </c>
    </row>
    <row r="42" spans="1:2" x14ac:dyDescent="0.3">
      <c r="A42" s="4" t="s">
        <v>47</v>
      </c>
      <c r="B42" s="9">
        <v>25</v>
      </c>
    </row>
    <row r="43" spans="1:2" x14ac:dyDescent="0.3">
      <c r="A43" s="4" t="s">
        <v>24</v>
      </c>
      <c r="B43" s="9">
        <v>26</v>
      </c>
    </row>
    <row r="44" spans="1:2" x14ac:dyDescent="0.3">
      <c r="A44" s="4" t="s">
        <v>343</v>
      </c>
      <c r="B44" s="9">
        <v>100</v>
      </c>
    </row>
    <row r="49" spans="1:2" x14ac:dyDescent="0.3">
      <c r="A49" s="3" t="s">
        <v>342</v>
      </c>
      <c r="B49" t="s">
        <v>347</v>
      </c>
    </row>
    <row r="50" spans="1:2" x14ac:dyDescent="0.3">
      <c r="A50" s="4" t="s">
        <v>54</v>
      </c>
      <c r="B50" s="9">
        <v>19</v>
      </c>
    </row>
    <row r="51" spans="1:2" x14ac:dyDescent="0.3">
      <c r="A51" s="4" t="s">
        <v>143</v>
      </c>
      <c r="B51" s="9">
        <v>6</v>
      </c>
    </row>
    <row r="52" spans="1:2" x14ac:dyDescent="0.3">
      <c r="A52" s="4" t="s">
        <v>89</v>
      </c>
      <c r="B52" s="9">
        <v>32</v>
      </c>
    </row>
    <row r="53" spans="1:2" x14ac:dyDescent="0.3">
      <c r="A53" s="4" t="s">
        <v>93</v>
      </c>
      <c r="B53" s="9">
        <v>29</v>
      </c>
    </row>
    <row r="54" spans="1:2" x14ac:dyDescent="0.3">
      <c r="A54" s="4" t="s">
        <v>39</v>
      </c>
      <c r="B54" s="9">
        <v>38</v>
      </c>
    </row>
    <row r="55" spans="1:2" x14ac:dyDescent="0.3">
      <c r="A55" s="4" t="s">
        <v>72</v>
      </c>
      <c r="B55" s="9">
        <v>24</v>
      </c>
    </row>
    <row r="56" spans="1:2" x14ac:dyDescent="0.3">
      <c r="A56" s="4" t="s">
        <v>188</v>
      </c>
      <c r="B56" s="9">
        <v>26</v>
      </c>
    </row>
    <row r="57" spans="1:2" x14ac:dyDescent="0.3">
      <c r="A57" s="4" t="s">
        <v>33</v>
      </c>
      <c r="B57" s="9">
        <v>10</v>
      </c>
    </row>
    <row r="58" spans="1:2" x14ac:dyDescent="0.3">
      <c r="A58" s="4" t="s">
        <v>118</v>
      </c>
      <c r="B58" s="9">
        <v>27</v>
      </c>
    </row>
    <row r="59" spans="1:2" x14ac:dyDescent="0.3">
      <c r="A59" s="4" t="s">
        <v>104</v>
      </c>
      <c r="B59" s="9">
        <v>14</v>
      </c>
    </row>
    <row r="60" spans="1:2" x14ac:dyDescent="0.3">
      <c r="A60" s="4" t="s">
        <v>23</v>
      </c>
      <c r="B60" s="9">
        <v>17</v>
      </c>
    </row>
    <row r="61" spans="1:2" x14ac:dyDescent="0.3">
      <c r="A61" s="4" t="s">
        <v>64</v>
      </c>
      <c r="B61" s="9">
        <v>21</v>
      </c>
    </row>
    <row r="62" spans="1:2" x14ac:dyDescent="0.3">
      <c r="A62" s="4" t="s">
        <v>196</v>
      </c>
      <c r="B62" s="9">
        <v>27</v>
      </c>
    </row>
    <row r="63" spans="1:2" x14ac:dyDescent="0.3">
      <c r="A63" s="4" t="s">
        <v>68</v>
      </c>
      <c r="B63" s="9">
        <v>39</v>
      </c>
    </row>
    <row r="64" spans="1:2" x14ac:dyDescent="0.3">
      <c r="A64" s="4" t="s">
        <v>151</v>
      </c>
      <c r="B64" s="9">
        <v>48</v>
      </c>
    </row>
    <row r="65" spans="1:2" x14ac:dyDescent="0.3">
      <c r="A65" s="4" t="s">
        <v>85</v>
      </c>
      <c r="B65" s="9">
        <v>19</v>
      </c>
    </row>
    <row r="66" spans="1:2" x14ac:dyDescent="0.3">
      <c r="A66" s="4" t="s">
        <v>133</v>
      </c>
      <c r="B66" s="9">
        <v>21</v>
      </c>
    </row>
    <row r="67" spans="1:2" x14ac:dyDescent="0.3">
      <c r="A67" s="4" t="s">
        <v>46</v>
      </c>
      <c r="B67" s="9">
        <v>32</v>
      </c>
    </row>
    <row r="68" spans="1:2" x14ac:dyDescent="0.3">
      <c r="A68" s="4" t="s">
        <v>294</v>
      </c>
      <c r="B68" s="9">
        <v>11</v>
      </c>
    </row>
    <row r="69" spans="1:2" x14ac:dyDescent="0.3">
      <c r="A69" s="4" t="s">
        <v>60</v>
      </c>
      <c r="B69" s="9">
        <v>20</v>
      </c>
    </row>
    <row r="70" spans="1:2" x14ac:dyDescent="0.3">
      <c r="A70" s="4" t="s">
        <v>343</v>
      </c>
      <c r="B70" s="9">
        <v>480</v>
      </c>
    </row>
    <row r="73" spans="1:2" x14ac:dyDescent="0.3">
      <c r="A73" s="3" t="s">
        <v>342</v>
      </c>
      <c r="B73" t="s">
        <v>346</v>
      </c>
    </row>
    <row r="74" spans="1:2" x14ac:dyDescent="0.3">
      <c r="A74" s="4" t="s">
        <v>48</v>
      </c>
      <c r="B74" s="9">
        <v>20</v>
      </c>
    </row>
    <row r="75" spans="1:2" x14ac:dyDescent="0.3">
      <c r="A75" s="4" t="s">
        <v>55</v>
      </c>
      <c r="B75" s="9">
        <v>32</v>
      </c>
    </row>
    <row r="76" spans="1:2" x14ac:dyDescent="0.3">
      <c r="A76" s="4" t="s">
        <v>35</v>
      </c>
      <c r="B76" s="9">
        <v>23</v>
      </c>
    </row>
    <row r="77" spans="1:2" x14ac:dyDescent="0.3">
      <c r="A77" s="4" t="s">
        <v>25</v>
      </c>
      <c r="B77" s="9">
        <v>25</v>
      </c>
    </row>
    <row r="78" spans="1:2" x14ac:dyDescent="0.3">
      <c r="A78" s="4" t="s">
        <v>343</v>
      </c>
      <c r="B78" s="9">
        <v>100</v>
      </c>
    </row>
    <row r="91" spans="1:2" x14ac:dyDescent="0.3">
      <c r="A91" s="3" t="s">
        <v>342</v>
      </c>
      <c r="B91" t="s">
        <v>344</v>
      </c>
    </row>
    <row r="92" spans="1:2" x14ac:dyDescent="0.3">
      <c r="A92" s="4">
        <v>5</v>
      </c>
      <c r="B92" s="9">
        <v>142824.9</v>
      </c>
    </row>
    <row r="93" spans="1:2" x14ac:dyDescent="0.3">
      <c r="A93" s="4">
        <v>10</v>
      </c>
      <c r="B93" s="9">
        <v>260843.4</v>
      </c>
    </row>
    <row r="94" spans="1:2" x14ac:dyDescent="0.3">
      <c r="A94" s="4">
        <v>15</v>
      </c>
      <c r="B94" s="9">
        <v>395832.25</v>
      </c>
    </row>
    <row r="95" spans="1:2" x14ac:dyDescent="0.3">
      <c r="A95" s="4">
        <v>20</v>
      </c>
      <c r="B95" s="9">
        <v>273568</v>
      </c>
    </row>
    <row r="96" spans="1:2" x14ac:dyDescent="0.3">
      <c r="A96" s="4" t="s">
        <v>343</v>
      </c>
      <c r="B96" s="9">
        <v>1073068.55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BB84-3A8A-47D5-9F63-8739397D9C03}">
  <dimension ref="E1:V1"/>
  <sheetViews>
    <sheetView tabSelected="1" topLeftCell="A1881" zoomScale="101" zoomScaleNormal="55" workbookViewId="0">
      <selection activeCell="W10" sqref="W10"/>
    </sheetView>
  </sheetViews>
  <sheetFormatPr defaultRowHeight="14.4" x14ac:dyDescent="0.3"/>
  <cols>
    <col min="1" max="20" width="8.88671875" style="5"/>
    <col min="21" max="21" width="7.109375" style="5" customWidth="1"/>
    <col min="22" max="16384" width="8.88671875" style="5"/>
  </cols>
  <sheetData>
    <row r="1" spans="5:22" ht="36.6" x14ac:dyDescent="0.7">
      <c r="E1" s="10" t="s">
        <v>348</v>
      </c>
      <c r="F1" s="10"/>
      <c r="G1" s="10"/>
      <c r="H1" s="10"/>
      <c r="I1" s="10"/>
      <c r="J1" s="10"/>
      <c r="K1" s="10"/>
      <c r="L1" s="10"/>
      <c r="M1" s="10"/>
      <c r="N1" s="10"/>
      <c r="O1" s="10"/>
      <c r="P1" s="10"/>
      <c r="Q1" s="10"/>
      <c r="R1" s="10"/>
      <c r="S1" s="10"/>
      <c r="T1" s="10"/>
      <c r="U1" s="10"/>
      <c r="V1" s="10"/>
    </row>
  </sheetData>
  <mergeCells count="1">
    <mergeCell ref="E1:V1"/>
  </mergeCells>
  <pageMargins left="0.7" right="0.7" top="0.75" bottom="0.75" header="0.3" footer="0.3"/>
  <pageSetup paperSize="66"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FCD4C-46D8-4AF2-8724-6DA8F0A80FB6}">
  <dimension ref="A1"/>
  <sheetViews>
    <sheetView topLeftCell="A46" workbookViewId="0">
      <selection activeCell="R35" sqref="R35"/>
    </sheetView>
  </sheetViews>
  <sheetFormatPr defaultRowHeight="14.4" x14ac:dyDescent="0.3"/>
  <cols>
    <col min="1" max="16384" width="8.88671875" style="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Retail_Orders</vt:lpstr>
      <vt:lpstr>Pivot</vt:lpstr>
      <vt:lpstr>Dashboard</vt:lpstr>
      <vt:lpstr>icons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 Poojary</cp:lastModifiedBy>
  <cp:lastPrinted>2026-08-03T15:12:51Z</cp:lastPrinted>
  <dcterms:created xsi:type="dcterms:W3CDTF">2026-08-03T06:08:05Z</dcterms:created>
  <dcterms:modified xsi:type="dcterms:W3CDTF">2026-08-04T06:34:08Z</dcterms:modified>
</cp:coreProperties>
</file>